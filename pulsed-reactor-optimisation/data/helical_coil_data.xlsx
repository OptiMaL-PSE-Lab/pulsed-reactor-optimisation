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tomsavage/Dropbox/My Mac (Toms-MacBook-Pro-2.local)/Documents/phd/pulsed-reactor-optimisation/data/"/>
    </mc:Choice>
  </mc:AlternateContent>
  <xr:revisionPtr revIDLastSave="0" documentId="13_ncr:1_{A0DD74FD-2066-114B-A05C-DDA6654FE632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Sheet1!$A$2:$T$403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S3" i="1"/>
  <c r="S373" i="1"/>
  <c r="L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S352" i="1"/>
  <c r="T352" i="1"/>
  <c r="S353" i="1"/>
  <c r="T353" i="1"/>
  <c r="S354" i="1"/>
  <c r="T354" i="1"/>
  <c r="S355" i="1"/>
  <c r="T355" i="1"/>
  <c r="S356" i="1"/>
  <c r="T356" i="1"/>
  <c r="S357" i="1"/>
  <c r="T357" i="1"/>
  <c r="S358" i="1"/>
  <c r="T358" i="1"/>
  <c r="S359" i="1"/>
  <c r="T359" i="1"/>
  <c r="S360" i="1"/>
  <c r="T360" i="1"/>
  <c r="S361" i="1"/>
  <c r="T361" i="1"/>
  <c r="S362" i="1"/>
  <c r="T362" i="1"/>
  <c r="S363" i="1"/>
  <c r="T363" i="1"/>
  <c r="S364" i="1"/>
  <c r="T364" i="1"/>
  <c r="S365" i="1"/>
  <c r="T365" i="1"/>
  <c r="S366" i="1"/>
  <c r="T366" i="1"/>
  <c r="S367" i="1"/>
  <c r="T367" i="1"/>
  <c r="S368" i="1"/>
  <c r="T368" i="1"/>
  <c r="S369" i="1"/>
  <c r="T369" i="1"/>
  <c r="S370" i="1"/>
  <c r="T370" i="1"/>
  <c r="S371" i="1"/>
  <c r="T371" i="1"/>
  <c r="S372" i="1"/>
  <c r="T372" i="1"/>
  <c r="T373" i="1"/>
  <c r="S374" i="1"/>
  <c r="T374" i="1"/>
  <c r="S375" i="1"/>
  <c r="T375" i="1"/>
  <c r="S376" i="1"/>
  <c r="T376" i="1"/>
  <c r="S377" i="1"/>
  <c r="T377" i="1"/>
  <c r="S378" i="1"/>
  <c r="T378" i="1"/>
  <c r="S379" i="1"/>
  <c r="T379" i="1"/>
  <c r="S380" i="1"/>
  <c r="T380" i="1"/>
  <c r="S381" i="1"/>
  <c r="T381" i="1"/>
  <c r="S382" i="1"/>
  <c r="T382" i="1"/>
  <c r="S383" i="1"/>
  <c r="T383" i="1"/>
  <c r="S384" i="1"/>
  <c r="T384" i="1"/>
  <c r="S385" i="1"/>
  <c r="T385" i="1"/>
  <c r="S386" i="1"/>
  <c r="T386" i="1"/>
  <c r="S387" i="1"/>
  <c r="T387" i="1"/>
  <c r="S388" i="1"/>
  <c r="T388" i="1"/>
  <c r="S389" i="1"/>
  <c r="T389" i="1"/>
  <c r="S390" i="1"/>
  <c r="T390" i="1"/>
  <c r="S391" i="1"/>
  <c r="T391" i="1"/>
  <c r="S392" i="1"/>
  <c r="T392" i="1"/>
  <c r="S393" i="1"/>
  <c r="T393" i="1"/>
  <c r="S394" i="1"/>
  <c r="T394" i="1"/>
  <c r="S395" i="1"/>
  <c r="T395" i="1"/>
  <c r="S396" i="1"/>
  <c r="T396" i="1"/>
  <c r="S397" i="1"/>
  <c r="T397" i="1"/>
  <c r="S398" i="1"/>
  <c r="T398" i="1"/>
  <c r="S399" i="1"/>
  <c r="T399" i="1"/>
  <c r="S400" i="1"/>
  <c r="T400" i="1"/>
  <c r="S401" i="1"/>
  <c r="T401" i="1"/>
  <c r="S402" i="1"/>
  <c r="T402" i="1"/>
  <c r="S403" i="1"/>
  <c r="T403" i="1"/>
  <c r="I377" i="1"/>
  <c r="I378" i="1"/>
  <c r="I379" i="1"/>
  <c r="I380" i="1"/>
  <c r="I381" i="1"/>
  <c r="K381" i="1" s="1"/>
  <c r="I382" i="1"/>
  <c r="I383" i="1"/>
  <c r="I384" i="1"/>
  <c r="I385" i="1"/>
  <c r="I386" i="1"/>
  <c r="I387" i="1"/>
  <c r="I388" i="1"/>
  <c r="I389" i="1"/>
  <c r="K389" i="1" s="1"/>
  <c r="I390" i="1"/>
  <c r="I391" i="1"/>
  <c r="I392" i="1"/>
  <c r="I393" i="1"/>
  <c r="I394" i="1"/>
  <c r="I395" i="1"/>
  <c r="I396" i="1"/>
  <c r="I397" i="1"/>
  <c r="I398" i="1"/>
  <c r="I399" i="1"/>
  <c r="K399" i="1" s="1"/>
  <c r="I400" i="1"/>
  <c r="I401" i="1"/>
  <c r="I402" i="1"/>
  <c r="I403" i="1"/>
  <c r="I352" i="1"/>
  <c r="I353" i="1"/>
  <c r="I354" i="1"/>
  <c r="K354" i="1" s="1"/>
  <c r="I355" i="1"/>
  <c r="I356" i="1"/>
  <c r="I357" i="1"/>
  <c r="I358" i="1"/>
  <c r="I359" i="1"/>
  <c r="I360" i="1"/>
  <c r="I361" i="1"/>
  <c r="I362" i="1"/>
  <c r="I363" i="1"/>
  <c r="I364" i="1"/>
  <c r="K364" i="1" s="1"/>
  <c r="I365" i="1"/>
  <c r="I366" i="1"/>
  <c r="I367" i="1"/>
  <c r="I368" i="1"/>
  <c r="I369" i="1"/>
  <c r="I370" i="1"/>
  <c r="K370" i="1" s="1"/>
  <c r="I371" i="1"/>
  <c r="I372" i="1"/>
  <c r="I373" i="1"/>
  <c r="I374" i="1"/>
  <c r="K374" i="1" s="1"/>
  <c r="I375" i="1"/>
  <c r="I376" i="1"/>
  <c r="S351" i="1"/>
  <c r="T351" i="1"/>
  <c r="I351" i="1"/>
  <c r="S338" i="1"/>
  <c r="T338" i="1"/>
  <c r="S339" i="1"/>
  <c r="T339" i="1"/>
  <c r="S340" i="1"/>
  <c r="T340" i="1"/>
  <c r="S341" i="1"/>
  <c r="T341" i="1"/>
  <c r="S342" i="1"/>
  <c r="T342" i="1"/>
  <c r="S343" i="1"/>
  <c r="T343" i="1"/>
  <c r="S344" i="1"/>
  <c r="T344" i="1"/>
  <c r="S345" i="1"/>
  <c r="T345" i="1"/>
  <c r="S346" i="1"/>
  <c r="T346" i="1"/>
  <c r="S347" i="1"/>
  <c r="T347" i="1"/>
  <c r="S348" i="1"/>
  <c r="T348" i="1"/>
  <c r="S349" i="1"/>
  <c r="T349" i="1"/>
  <c r="I336" i="1"/>
  <c r="I337" i="1"/>
  <c r="I338" i="1"/>
  <c r="I339" i="1"/>
  <c r="I340" i="1"/>
  <c r="I341" i="1"/>
  <c r="I342" i="1"/>
  <c r="I343" i="1"/>
  <c r="I344" i="1"/>
  <c r="I345" i="1"/>
  <c r="I346" i="1"/>
  <c r="K346" i="1" s="1"/>
  <c r="I347" i="1"/>
  <c r="I348" i="1"/>
  <c r="I349" i="1"/>
  <c r="K349" i="1" s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S195" i="1"/>
  <c r="T195" i="1"/>
  <c r="S196" i="1"/>
  <c r="T196" i="1"/>
  <c r="S197" i="1"/>
  <c r="T197" i="1"/>
  <c r="S198" i="1"/>
  <c r="T198" i="1"/>
  <c r="S199" i="1"/>
  <c r="T199" i="1"/>
  <c r="S200" i="1"/>
  <c r="T200" i="1"/>
  <c r="S201" i="1"/>
  <c r="T201" i="1"/>
  <c r="S202" i="1"/>
  <c r="T202" i="1"/>
  <c r="S203" i="1"/>
  <c r="T203" i="1"/>
  <c r="S204" i="1"/>
  <c r="T204" i="1"/>
  <c r="S205" i="1"/>
  <c r="T205" i="1"/>
  <c r="S206" i="1"/>
  <c r="T206" i="1"/>
  <c r="S207" i="1"/>
  <c r="T207" i="1"/>
  <c r="S208" i="1"/>
  <c r="T208" i="1"/>
  <c r="S209" i="1"/>
  <c r="T209" i="1"/>
  <c r="S210" i="1"/>
  <c r="T210" i="1"/>
  <c r="S211" i="1"/>
  <c r="T211" i="1"/>
  <c r="S212" i="1"/>
  <c r="T212" i="1"/>
  <c r="S213" i="1"/>
  <c r="T213" i="1"/>
  <c r="S214" i="1"/>
  <c r="T214" i="1"/>
  <c r="S215" i="1"/>
  <c r="T215" i="1"/>
  <c r="S216" i="1"/>
  <c r="T216" i="1"/>
  <c r="S217" i="1"/>
  <c r="T217" i="1"/>
  <c r="S218" i="1"/>
  <c r="T218" i="1"/>
  <c r="S219" i="1"/>
  <c r="T219" i="1"/>
  <c r="S220" i="1"/>
  <c r="T220" i="1"/>
  <c r="S221" i="1"/>
  <c r="T221" i="1"/>
  <c r="S222" i="1"/>
  <c r="T222" i="1"/>
  <c r="S223" i="1"/>
  <c r="T223" i="1"/>
  <c r="S224" i="1"/>
  <c r="T224" i="1"/>
  <c r="S225" i="1"/>
  <c r="T225" i="1"/>
  <c r="S226" i="1"/>
  <c r="T226" i="1"/>
  <c r="S227" i="1"/>
  <c r="T227" i="1"/>
  <c r="S228" i="1"/>
  <c r="T228" i="1"/>
  <c r="S229" i="1"/>
  <c r="T229" i="1"/>
  <c r="S230" i="1"/>
  <c r="T230" i="1"/>
  <c r="S231" i="1"/>
  <c r="T231" i="1"/>
  <c r="S232" i="1"/>
  <c r="T232" i="1"/>
  <c r="S233" i="1"/>
  <c r="T233" i="1"/>
  <c r="S234" i="1"/>
  <c r="T234" i="1"/>
  <c r="S235" i="1"/>
  <c r="T235" i="1"/>
  <c r="S236" i="1"/>
  <c r="T236" i="1"/>
  <c r="S237" i="1"/>
  <c r="T237" i="1"/>
  <c r="S238" i="1"/>
  <c r="T238" i="1"/>
  <c r="S239" i="1"/>
  <c r="T239" i="1"/>
  <c r="S240" i="1"/>
  <c r="T240" i="1"/>
  <c r="S241" i="1"/>
  <c r="T241" i="1"/>
  <c r="S242" i="1"/>
  <c r="T242" i="1"/>
  <c r="S243" i="1"/>
  <c r="T243" i="1"/>
  <c r="S244" i="1"/>
  <c r="T244" i="1"/>
  <c r="S245" i="1"/>
  <c r="T245" i="1"/>
  <c r="S246" i="1"/>
  <c r="T246" i="1"/>
  <c r="S247" i="1"/>
  <c r="T247" i="1"/>
  <c r="S248" i="1"/>
  <c r="T248" i="1"/>
  <c r="S249" i="1"/>
  <c r="T249" i="1"/>
  <c r="S250" i="1"/>
  <c r="T250" i="1"/>
  <c r="S251" i="1"/>
  <c r="T251" i="1"/>
  <c r="S252" i="1"/>
  <c r="T252" i="1"/>
  <c r="S253" i="1"/>
  <c r="T253" i="1"/>
  <c r="S254" i="1"/>
  <c r="T254" i="1"/>
  <c r="S255" i="1"/>
  <c r="T255" i="1"/>
  <c r="S256" i="1"/>
  <c r="T256" i="1"/>
  <c r="S257" i="1"/>
  <c r="T257" i="1"/>
  <c r="S258" i="1"/>
  <c r="T258" i="1"/>
  <c r="S259" i="1"/>
  <c r="T259" i="1"/>
  <c r="S260" i="1"/>
  <c r="T260" i="1"/>
  <c r="S261" i="1"/>
  <c r="T261" i="1"/>
  <c r="S262" i="1"/>
  <c r="T262" i="1"/>
  <c r="S263" i="1"/>
  <c r="T263" i="1"/>
  <c r="S264" i="1"/>
  <c r="T264" i="1"/>
  <c r="S265" i="1"/>
  <c r="T265" i="1"/>
  <c r="S266" i="1"/>
  <c r="T266" i="1"/>
  <c r="S267" i="1"/>
  <c r="T267" i="1"/>
  <c r="S268" i="1"/>
  <c r="T268" i="1"/>
  <c r="S269" i="1"/>
  <c r="T269" i="1"/>
  <c r="S270" i="1"/>
  <c r="T270" i="1"/>
  <c r="S271" i="1"/>
  <c r="T271" i="1"/>
  <c r="S272" i="1"/>
  <c r="T272" i="1"/>
  <c r="S273" i="1"/>
  <c r="T273" i="1"/>
  <c r="S274" i="1"/>
  <c r="T274" i="1"/>
  <c r="S275" i="1"/>
  <c r="T275" i="1"/>
  <c r="S276" i="1"/>
  <c r="T276" i="1"/>
  <c r="S277" i="1"/>
  <c r="T277" i="1"/>
  <c r="S278" i="1"/>
  <c r="T278" i="1"/>
  <c r="S279" i="1"/>
  <c r="T279" i="1"/>
  <c r="S280" i="1"/>
  <c r="T280" i="1"/>
  <c r="S281" i="1"/>
  <c r="T281" i="1"/>
  <c r="S282" i="1"/>
  <c r="T282" i="1"/>
  <c r="S283" i="1"/>
  <c r="T283" i="1"/>
  <c r="S284" i="1"/>
  <c r="T284" i="1"/>
  <c r="S285" i="1"/>
  <c r="T285" i="1"/>
  <c r="S286" i="1"/>
  <c r="T286" i="1"/>
  <c r="S287" i="1"/>
  <c r="T287" i="1"/>
  <c r="S288" i="1"/>
  <c r="T288" i="1"/>
  <c r="S289" i="1"/>
  <c r="T289" i="1"/>
  <c r="S290" i="1"/>
  <c r="T290" i="1"/>
  <c r="S291" i="1"/>
  <c r="T291" i="1"/>
  <c r="S292" i="1"/>
  <c r="T292" i="1"/>
  <c r="S293" i="1"/>
  <c r="T293" i="1"/>
  <c r="S294" i="1"/>
  <c r="T294" i="1"/>
  <c r="S295" i="1"/>
  <c r="T295" i="1"/>
  <c r="S296" i="1"/>
  <c r="T296" i="1"/>
  <c r="S297" i="1"/>
  <c r="T297" i="1"/>
  <c r="S298" i="1"/>
  <c r="T298" i="1"/>
  <c r="S299" i="1"/>
  <c r="T299" i="1"/>
  <c r="S300" i="1"/>
  <c r="T300" i="1"/>
  <c r="S301" i="1"/>
  <c r="T301" i="1"/>
  <c r="S302" i="1"/>
  <c r="T302" i="1"/>
  <c r="S303" i="1"/>
  <c r="T303" i="1"/>
  <c r="S304" i="1"/>
  <c r="T304" i="1"/>
  <c r="S305" i="1"/>
  <c r="T305" i="1"/>
  <c r="S306" i="1"/>
  <c r="T306" i="1"/>
  <c r="S307" i="1"/>
  <c r="T307" i="1"/>
  <c r="S308" i="1"/>
  <c r="T308" i="1"/>
  <c r="S309" i="1"/>
  <c r="T309" i="1"/>
  <c r="S310" i="1"/>
  <c r="T310" i="1"/>
  <c r="S311" i="1"/>
  <c r="T311" i="1"/>
  <c r="S312" i="1"/>
  <c r="T312" i="1"/>
  <c r="S313" i="1"/>
  <c r="T313" i="1"/>
  <c r="S314" i="1"/>
  <c r="T314" i="1"/>
  <c r="S315" i="1"/>
  <c r="T315" i="1"/>
  <c r="S316" i="1"/>
  <c r="T316" i="1"/>
  <c r="S317" i="1"/>
  <c r="T317" i="1"/>
  <c r="S318" i="1"/>
  <c r="T318" i="1"/>
  <c r="S319" i="1"/>
  <c r="T319" i="1"/>
  <c r="S320" i="1"/>
  <c r="T320" i="1"/>
  <c r="S321" i="1"/>
  <c r="T321" i="1"/>
  <c r="S322" i="1"/>
  <c r="T322" i="1"/>
  <c r="S323" i="1"/>
  <c r="T323" i="1"/>
  <c r="S324" i="1"/>
  <c r="T324" i="1"/>
  <c r="S325" i="1"/>
  <c r="T325" i="1"/>
  <c r="S326" i="1"/>
  <c r="T326" i="1"/>
  <c r="S327" i="1"/>
  <c r="T327" i="1"/>
  <c r="S328" i="1"/>
  <c r="T328" i="1"/>
  <c r="S329" i="1"/>
  <c r="T329" i="1"/>
  <c r="S330" i="1"/>
  <c r="T330" i="1"/>
  <c r="S331" i="1"/>
  <c r="T331" i="1"/>
  <c r="S332" i="1"/>
  <c r="T332" i="1"/>
  <c r="S333" i="1"/>
  <c r="T333" i="1"/>
  <c r="S334" i="1"/>
  <c r="T334" i="1"/>
  <c r="S335" i="1"/>
  <c r="T335" i="1"/>
  <c r="S336" i="1"/>
  <c r="T336" i="1"/>
  <c r="S337" i="1"/>
  <c r="T337" i="1"/>
  <c r="S350" i="1"/>
  <c r="T350" i="1"/>
  <c r="T3" i="1"/>
  <c r="I350" i="1"/>
  <c r="I335" i="1"/>
  <c r="I334" i="1"/>
  <c r="I333" i="1"/>
  <c r="I332" i="1"/>
  <c r="I331" i="1"/>
  <c r="I330" i="1"/>
  <c r="I329" i="1"/>
  <c r="I328" i="1"/>
  <c r="I327" i="1"/>
  <c r="I326" i="1"/>
  <c r="I325" i="1"/>
  <c r="I319" i="1"/>
  <c r="I320" i="1"/>
  <c r="I321" i="1"/>
  <c r="I322" i="1"/>
  <c r="I323" i="1"/>
  <c r="I324" i="1"/>
  <c r="I318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17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16" i="1"/>
  <c r="I213" i="1"/>
  <c r="I214" i="1"/>
  <c r="I215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3" i="1"/>
  <c r="J364" i="1" l="1"/>
  <c r="M364" i="1" s="1"/>
  <c r="J374" i="1"/>
  <c r="M374" i="1" s="1"/>
  <c r="J130" i="1"/>
  <c r="M130" i="1" s="1"/>
  <c r="K130" i="1"/>
  <c r="J136" i="1"/>
  <c r="M136" i="1" s="1"/>
  <c r="K136" i="1"/>
  <c r="J104" i="1"/>
  <c r="M104" i="1" s="1"/>
  <c r="K104" i="1"/>
  <c r="J158" i="1"/>
  <c r="M158" i="1" s="1"/>
  <c r="K158" i="1"/>
  <c r="J142" i="1"/>
  <c r="M142" i="1" s="1"/>
  <c r="K142" i="1"/>
  <c r="J157" i="1"/>
  <c r="M157" i="1" s="1"/>
  <c r="K157" i="1"/>
  <c r="J149" i="1"/>
  <c r="M149" i="1" s="1"/>
  <c r="K149" i="1"/>
  <c r="J141" i="1"/>
  <c r="M141" i="1" s="1"/>
  <c r="K141" i="1"/>
  <c r="J133" i="1"/>
  <c r="M133" i="1" s="1"/>
  <c r="K133" i="1"/>
  <c r="J125" i="1"/>
  <c r="M125" i="1" s="1"/>
  <c r="K125" i="1"/>
  <c r="J117" i="1"/>
  <c r="M117" i="1" s="1"/>
  <c r="K117" i="1"/>
  <c r="J109" i="1"/>
  <c r="M109" i="1" s="1"/>
  <c r="K109" i="1"/>
  <c r="J101" i="1"/>
  <c r="M101" i="1" s="1"/>
  <c r="K101" i="1"/>
  <c r="J93" i="1"/>
  <c r="M93" i="1" s="1"/>
  <c r="K93" i="1"/>
  <c r="J85" i="1"/>
  <c r="M85" i="1" s="1"/>
  <c r="K85" i="1"/>
  <c r="J77" i="1"/>
  <c r="M77" i="1" s="1"/>
  <c r="K77" i="1"/>
  <c r="J69" i="1"/>
  <c r="M69" i="1" s="1"/>
  <c r="K69" i="1"/>
  <c r="J61" i="1"/>
  <c r="M61" i="1" s="1"/>
  <c r="K61" i="1"/>
  <c r="J53" i="1"/>
  <c r="M53" i="1" s="1"/>
  <c r="K53" i="1"/>
  <c r="J45" i="1"/>
  <c r="M45" i="1" s="1"/>
  <c r="K45" i="1"/>
  <c r="J37" i="1"/>
  <c r="M37" i="1" s="1"/>
  <c r="K37" i="1"/>
  <c r="J29" i="1"/>
  <c r="M29" i="1" s="1"/>
  <c r="K29" i="1"/>
  <c r="J21" i="1"/>
  <c r="M21" i="1" s="1"/>
  <c r="K21" i="1"/>
  <c r="J13" i="1"/>
  <c r="M13" i="1" s="1"/>
  <c r="K13" i="1"/>
  <c r="J5" i="1"/>
  <c r="M5" i="1" s="1"/>
  <c r="K5" i="1"/>
  <c r="J206" i="1"/>
  <c r="M206" i="1" s="1"/>
  <c r="K206" i="1"/>
  <c r="J198" i="1"/>
  <c r="M198" i="1" s="1"/>
  <c r="K198" i="1"/>
  <c r="J190" i="1"/>
  <c r="M190" i="1" s="1"/>
  <c r="K190" i="1"/>
  <c r="J182" i="1"/>
  <c r="M182" i="1" s="1"/>
  <c r="K182" i="1"/>
  <c r="J174" i="1"/>
  <c r="M174" i="1" s="1"/>
  <c r="K174" i="1"/>
  <c r="J166" i="1"/>
  <c r="M166" i="1" s="1"/>
  <c r="K166" i="1"/>
  <c r="J269" i="1"/>
  <c r="M269" i="1" s="1"/>
  <c r="K269" i="1"/>
  <c r="J261" i="1"/>
  <c r="M261" i="1" s="1"/>
  <c r="K261" i="1"/>
  <c r="J253" i="1"/>
  <c r="M253" i="1" s="1"/>
  <c r="K253" i="1"/>
  <c r="J245" i="1"/>
  <c r="M245" i="1" s="1"/>
  <c r="K245" i="1"/>
  <c r="J237" i="1"/>
  <c r="M237" i="1" s="1"/>
  <c r="K237" i="1"/>
  <c r="J229" i="1"/>
  <c r="M229" i="1" s="1"/>
  <c r="K229" i="1"/>
  <c r="J221" i="1"/>
  <c r="M221" i="1" s="1"/>
  <c r="K221" i="1"/>
  <c r="J301" i="1"/>
  <c r="M301" i="1" s="1"/>
  <c r="K301" i="1"/>
  <c r="J293" i="1"/>
  <c r="M293" i="1" s="1"/>
  <c r="K293" i="1"/>
  <c r="J285" i="1"/>
  <c r="M285" i="1" s="1"/>
  <c r="K285" i="1"/>
  <c r="J277" i="1"/>
  <c r="M277" i="1" s="1"/>
  <c r="K277" i="1"/>
  <c r="J318" i="1"/>
  <c r="M318" i="1" s="1"/>
  <c r="K318" i="1"/>
  <c r="J326" i="1"/>
  <c r="M326" i="1" s="1"/>
  <c r="K326" i="1"/>
  <c r="J334" i="1"/>
  <c r="M334" i="1" s="1"/>
  <c r="K334" i="1"/>
  <c r="J311" i="1"/>
  <c r="M311" i="1" s="1"/>
  <c r="K311" i="1"/>
  <c r="J349" i="1"/>
  <c r="M349" i="1" s="1"/>
  <c r="J343" i="1"/>
  <c r="M343" i="1" s="1"/>
  <c r="K343" i="1"/>
  <c r="J351" i="1"/>
  <c r="M351" i="1" s="1"/>
  <c r="K351" i="1"/>
  <c r="J372" i="1"/>
  <c r="M372" i="1" s="1"/>
  <c r="K372" i="1"/>
  <c r="J365" i="1"/>
  <c r="M365" i="1" s="1"/>
  <c r="K365" i="1"/>
  <c r="J358" i="1"/>
  <c r="M358" i="1" s="1"/>
  <c r="K358" i="1"/>
  <c r="J403" i="1"/>
  <c r="M403" i="1" s="1"/>
  <c r="K403" i="1"/>
  <c r="J396" i="1"/>
  <c r="M396" i="1" s="1"/>
  <c r="K396" i="1"/>
  <c r="J381" i="1"/>
  <c r="M381" i="1" s="1"/>
  <c r="J148" i="1"/>
  <c r="M148" i="1" s="1"/>
  <c r="K148" i="1"/>
  <c r="J132" i="1"/>
  <c r="M132" i="1" s="1"/>
  <c r="K132" i="1"/>
  <c r="J116" i="1"/>
  <c r="M116" i="1" s="1"/>
  <c r="K116" i="1"/>
  <c r="J100" i="1"/>
  <c r="M100" i="1" s="1"/>
  <c r="K100" i="1"/>
  <c r="J84" i="1"/>
  <c r="M84" i="1" s="1"/>
  <c r="K84" i="1"/>
  <c r="J68" i="1"/>
  <c r="M68" i="1" s="1"/>
  <c r="K68" i="1"/>
  <c r="J52" i="1"/>
  <c r="M52" i="1" s="1"/>
  <c r="K52" i="1"/>
  <c r="J44" i="1"/>
  <c r="M44" i="1" s="1"/>
  <c r="K44" i="1"/>
  <c r="J28" i="1"/>
  <c r="M28" i="1" s="1"/>
  <c r="K28" i="1"/>
  <c r="J20" i="1"/>
  <c r="M20" i="1" s="1"/>
  <c r="K20" i="1"/>
  <c r="J12" i="1"/>
  <c r="M12" i="1" s="1"/>
  <c r="K12" i="1"/>
  <c r="J4" i="1"/>
  <c r="M4" i="1" s="1"/>
  <c r="K4" i="1"/>
  <c r="J205" i="1"/>
  <c r="M205" i="1" s="1"/>
  <c r="K205" i="1"/>
  <c r="J197" i="1"/>
  <c r="M197" i="1" s="1"/>
  <c r="K197" i="1"/>
  <c r="J189" i="1"/>
  <c r="M189" i="1" s="1"/>
  <c r="K189" i="1"/>
  <c r="J181" i="1"/>
  <c r="M181" i="1" s="1"/>
  <c r="K181" i="1"/>
  <c r="J173" i="1"/>
  <c r="M173" i="1" s="1"/>
  <c r="K173" i="1"/>
  <c r="J165" i="1"/>
  <c r="M165" i="1" s="1"/>
  <c r="K165" i="1"/>
  <c r="J268" i="1"/>
  <c r="M268" i="1" s="1"/>
  <c r="K268" i="1"/>
  <c r="J260" i="1"/>
  <c r="M260" i="1" s="1"/>
  <c r="K260" i="1"/>
  <c r="J252" i="1"/>
  <c r="M252" i="1" s="1"/>
  <c r="K252" i="1"/>
  <c r="J244" i="1"/>
  <c r="M244" i="1" s="1"/>
  <c r="K244" i="1"/>
  <c r="J236" i="1"/>
  <c r="M236" i="1" s="1"/>
  <c r="K236" i="1"/>
  <c r="J228" i="1"/>
  <c r="M228" i="1" s="1"/>
  <c r="K228" i="1"/>
  <c r="J220" i="1"/>
  <c r="M220" i="1" s="1"/>
  <c r="K220" i="1"/>
  <c r="J300" i="1"/>
  <c r="M300" i="1" s="1"/>
  <c r="K300" i="1"/>
  <c r="J292" i="1"/>
  <c r="M292" i="1" s="1"/>
  <c r="K292" i="1"/>
  <c r="J284" i="1"/>
  <c r="M284" i="1" s="1"/>
  <c r="K284" i="1"/>
  <c r="J276" i="1"/>
  <c r="M276" i="1" s="1"/>
  <c r="K276" i="1"/>
  <c r="J324" i="1"/>
  <c r="M324" i="1" s="1"/>
  <c r="K324" i="1"/>
  <c r="J327" i="1"/>
  <c r="M327" i="1" s="1"/>
  <c r="K327" i="1"/>
  <c r="J335" i="1"/>
  <c r="M335" i="1" s="1"/>
  <c r="K335" i="1"/>
  <c r="J310" i="1"/>
  <c r="M310" i="1" s="1"/>
  <c r="K310" i="1"/>
  <c r="J342" i="1"/>
  <c r="M342" i="1" s="1"/>
  <c r="K342" i="1"/>
  <c r="J371" i="1"/>
  <c r="M371" i="1" s="1"/>
  <c r="K371" i="1"/>
  <c r="J357" i="1"/>
  <c r="M357" i="1" s="1"/>
  <c r="K357" i="1"/>
  <c r="J402" i="1"/>
  <c r="M402" i="1" s="1"/>
  <c r="K402" i="1"/>
  <c r="J395" i="1"/>
  <c r="M395" i="1" s="1"/>
  <c r="K395" i="1"/>
  <c r="J388" i="1"/>
  <c r="M388" i="1" s="1"/>
  <c r="K388" i="1"/>
  <c r="J140" i="1"/>
  <c r="M140" i="1" s="1"/>
  <c r="K140" i="1"/>
  <c r="J124" i="1"/>
  <c r="M124" i="1" s="1"/>
  <c r="K124" i="1"/>
  <c r="J108" i="1"/>
  <c r="M108" i="1" s="1"/>
  <c r="K108" i="1"/>
  <c r="J92" i="1"/>
  <c r="M92" i="1" s="1"/>
  <c r="K92" i="1"/>
  <c r="J76" i="1"/>
  <c r="M76" i="1" s="1"/>
  <c r="K76" i="1"/>
  <c r="J60" i="1"/>
  <c r="M60" i="1" s="1"/>
  <c r="K60" i="1"/>
  <c r="J36" i="1"/>
  <c r="M36" i="1" s="1"/>
  <c r="K36" i="1"/>
  <c r="J3" i="1"/>
  <c r="M3" i="1" s="1"/>
  <c r="K3" i="1"/>
  <c r="J155" i="1"/>
  <c r="M155" i="1" s="1"/>
  <c r="K155" i="1"/>
  <c r="J147" i="1"/>
  <c r="M147" i="1" s="1"/>
  <c r="K147" i="1"/>
  <c r="J139" i="1"/>
  <c r="M139" i="1" s="1"/>
  <c r="K139" i="1"/>
  <c r="J131" i="1"/>
  <c r="M131" i="1" s="1"/>
  <c r="K131" i="1"/>
  <c r="J123" i="1"/>
  <c r="M123" i="1" s="1"/>
  <c r="K123" i="1"/>
  <c r="J115" i="1"/>
  <c r="M115" i="1" s="1"/>
  <c r="K115" i="1"/>
  <c r="J107" i="1"/>
  <c r="M107" i="1" s="1"/>
  <c r="K107" i="1"/>
  <c r="J99" i="1"/>
  <c r="M99" i="1" s="1"/>
  <c r="K99" i="1"/>
  <c r="J91" i="1"/>
  <c r="M91" i="1" s="1"/>
  <c r="K91" i="1"/>
  <c r="J83" i="1"/>
  <c r="M83" i="1" s="1"/>
  <c r="K83" i="1"/>
  <c r="J75" i="1"/>
  <c r="M75" i="1" s="1"/>
  <c r="K75" i="1"/>
  <c r="J67" i="1"/>
  <c r="M67" i="1" s="1"/>
  <c r="K67" i="1"/>
  <c r="J59" i="1"/>
  <c r="M59" i="1" s="1"/>
  <c r="K59" i="1"/>
  <c r="J51" i="1"/>
  <c r="M51" i="1" s="1"/>
  <c r="K51" i="1"/>
  <c r="J43" i="1"/>
  <c r="M43" i="1" s="1"/>
  <c r="K43" i="1"/>
  <c r="J35" i="1"/>
  <c r="M35" i="1" s="1"/>
  <c r="K35" i="1"/>
  <c r="J27" i="1"/>
  <c r="M27" i="1" s="1"/>
  <c r="K27" i="1"/>
  <c r="J19" i="1"/>
  <c r="M19" i="1" s="1"/>
  <c r="K19" i="1"/>
  <c r="J11" i="1"/>
  <c r="M11" i="1" s="1"/>
  <c r="K11" i="1"/>
  <c r="J212" i="1"/>
  <c r="M212" i="1" s="1"/>
  <c r="K212" i="1"/>
  <c r="J204" i="1"/>
  <c r="M204" i="1" s="1"/>
  <c r="K204" i="1"/>
  <c r="J196" i="1"/>
  <c r="M196" i="1" s="1"/>
  <c r="K196" i="1"/>
  <c r="J188" i="1"/>
  <c r="M188" i="1" s="1"/>
  <c r="K188" i="1"/>
  <c r="J180" i="1"/>
  <c r="M180" i="1" s="1"/>
  <c r="K180" i="1"/>
  <c r="J172" i="1"/>
  <c r="M172" i="1" s="1"/>
  <c r="K172" i="1"/>
  <c r="J164" i="1"/>
  <c r="M164" i="1" s="1"/>
  <c r="K164" i="1"/>
  <c r="J267" i="1"/>
  <c r="M267" i="1" s="1"/>
  <c r="K267" i="1"/>
  <c r="J259" i="1"/>
  <c r="M259" i="1" s="1"/>
  <c r="K259" i="1"/>
  <c r="J251" i="1"/>
  <c r="M251" i="1" s="1"/>
  <c r="K251" i="1"/>
  <c r="J243" i="1"/>
  <c r="M243" i="1" s="1"/>
  <c r="K243" i="1"/>
  <c r="J235" i="1"/>
  <c r="M235" i="1" s="1"/>
  <c r="K235" i="1"/>
  <c r="J227" i="1"/>
  <c r="M227" i="1" s="1"/>
  <c r="K227" i="1"/>
  <c r="J219" i="1"/>
  <c r="M219" i="1" s="1"/>
  <c r="K219" i="1"/>
  <c r="J299" i="1"/>
  <c r="M299" i="1" s="1"/>
  <c r="K299" i="1"/>
  <c r="J291" i="1"/>
  <c r="M291" i="1" s="1"/>
  <c r="K291" i="1"/>
  <c r="J283" i="1"/>
  <c r="M283" i="1" s="1"/>
  <c r="K283" i="1"/>
  <c r="J275" i="1"/>
  <c r="M275" i="1" s="1"/>
  <c r="K275" i="1"/>
  <c r="J323" i="1"/>
  <c r="M323" i="1" s="1"/>
  <c r="K323" i="1"/>
  <c r="J328" i="1"/>
  <c r="M328" i="1" s="1"/>
  <c r="K328" i="1"/>
  <c r="J350" i="1"/>
  <c r="M350" i="1" s="1"/>
  <c r="K350" i="1"/>
  <c r="J309" i="1"/>
  <c r="M309" i="1" s="1"/>
  <c r="K309" i="1"/>
  <c r="J348" i="1"/>
  <c r="M348" i="1" s="1"/>
  <c r="K348" i="1"/>
  <c r="J341" i="1"/>
  <c r="M341" i="1" s="1"/>
  <c r="K341" i="1"/>
  <c r="J370" i="1"/>
  <c r="M370" i="1" s="1"/>
  <c r="J356" i="1"/>
  <c r="M356" i="1" s="1"/>
  <c r="K356" i="1"/>
  <c r="J401" i="1"/>
  <c r="M401" i="1" s="1"/>
  <c r="K401" i="1"/>
  <c r="J394" i="1"/>
  <c r="M394" i="1" s="1"/>
  <c r="K394" i="1"/>
  <c r="J387" i="1"/>
  <c r="M387" i="1" s="1"/>
  <c r="K387" i="1"/>
  <c r="J380" i="1"/>
  <c r="M380" i="1" s="1"/>
  <c r="K380" i="1"/>
  <c r="J162" i="1"/>
  <c r="M162" i="1" s="1"/>
  <c r="K162" i="1"/>
  <c r="J122" i="1"/>
  <c r="M122" i="1" s="1"/>
  <c r="K122" i="1"/>
  <c r="J106" i="1"/>
  <c r="M106" i="1" s="1"/>
  <c r="K106" i="1"/>
  <c r="J90" i="1"/>
  <c r="M90" i="1" s="1"/>
  <c r="K90" i="1"/>
  <c r="J74" i="1"/>
  <c r="M74" i="1" s="1"/>
  <c r="K74" i="1"/>
  <c r="J66" i="1"/>
  <c r="M66" i="1" s="1"/>
  <c r="K66" i="1"/>
  <c r="J58" i="1"/>
  <c r="M58" i="1" s="1"/>
  <c r="K58" i="1"/>
  <c r="J50" i="1"/>
  <c r="M50" i="1" s="1"/>
  <c r="K50" i="1"/>
  <c r="J42" i="1"/>
  <c r="M42" i="1" s="1"/>
  <c r="K42" i="1"/>
  <c r="J34" i="1"/>
  <c r="M34" i="1" s="1"/>
  <c r="K34" i="1"/>
  <c r="J26" i="1"/>
  <c r="M26" i="1" s="1"/>
  <c r="K26" i="1"/>
  <c r="J18" i="1"/>
  <c r="M18" i="1" s="1"/>
  <c r="K18" i="1"/>
  <c r="J10" i="1"/>
  <c r="M10" i="1" s="1"/>
  <c r="K10" i="1"/>
  <c r="J211" i="1"/>
  <c r="M211" i="1" s="1"/>
  <c r="K211" i="1"/>
  <c r="J203" i="1"/>
  <c r="M203" i="1" s="1"/>
  <c r="K203" i="1"/>
  <c r="J195" i="1"/>
  <c r="M195" i="1" s="1"/>
  <c r="K195" i="1"/>
  <c r="J187" i="1"/>
  <c r="M187" i="1" s="1"/>
  <c r="K187" i="1"/>
  <c r="J179" i="1"/>
  <c r="M179" i="1" s="1"/>
  <c r="K179" i="1"/>
  <c r="J171" i="1"/>
  <c r="M171" i="1" s="1"/>
  <c r="K171" i="1"/>
  <c r="J163" i="1"/>
  <c r="M163" i="1" s="1"/>
  <c r="K163" i="1"/>
  <c r="J266" i="1"/>
  <c r="M266" i="1" s="1"/>
  <c r="K266" i="1"/>
  <c r="J258" i="1"/>
  <c r="M258" i="1" s="1"/>
  <c r="K258" i="1"/>
  <c r="J250" i="1"/>
  <c r="M250" i="1" s="1"/>
  <c r="K250" i="1"/>
  <c r="J242" i="1"/>
  <c r="M242" i="1" s="1"/>
  <c r="K242" i="1"/>
  <c r="J234" i="1"/>
  <c r="M234" i="1" s="1"/>
  <c r="K234" i="1"/>
  <c r="J226" i="1"/>
  <c r="M226" i="1" s="1"/>
  <c r="K226" i="1"/>
  <c r="J218" i="1"/>
  <c r="M218" i="1" s="1"/>
  <c r="K218" i="1"/>
  <c r="J298" i="1"/>
  <c r="M298" i="1" s="1"/>
  <c r="K298" i="1"/>
  <c r="J290" i="1"/>
  <c r="M290" i="1" s="1"/>
  <c r="K290" i="1"/>
  <c r="J282" i="1"/>
  <c r="M282" i="1" s="1"/>
  <c r="K282" i="1"/>
  <c r="J274" i="1"/>
  <c r="M274" i="1" s="1"/>
  <c r="K274" i="1"/>
  <c r="J322" i="1"/>
  <c r="M322" i="1" s="1"/>
  <c r="K322" i="1"/>
  <c r="J329" i="1"/>
  <c r="M329" i="1" s="1"/>
  <c r="K329" i="1"/>
  <c r="J316" i="1"/>
  <c r="M316" i="1" s="1"/>
  <c r="K316" i="1"/>
  <c r="J308" i="1"/>
  <c r="M308" i="1" s="1"/>
  <c r="K308" i="1"/>
  <c r="J347" i="1"/>
  <c r="M347" i="1" s="1"/>
  <c r="K347" i="1"/>
  <c r="J340" i="1"/>
  <c r="M340" i="1" s="1"/>
  <c r="K340" i="1"/>
  <c r="J376" i="1"/>
  <c r="M376" i="1" s="1"/>
  <c r="K376" i="1"/>
  <c r="J363" i="1"/>
  <c r="M363" i="1" s="1"/>
  <c r="K363" i="1"/>
  <c r="J355" i="1"/>
  <c r="M355" i="1" s="1"/>
  <c r="K355" i="1"/>
  <c r="J400" i="1"/>
  <c r="M400" i="1" s="1"/>
  <c r="K400" i="1"/>
  <c r="J393" i="1"/>
  <c r="M393" i="1" s="1"/>
  <c r="K393" i="1"/>
  <c r="J386" i="1"/>
  <c r="M386" i="1" s="1"/>
  <c r="K386" i="1"/>
  <c r="J379" i="1"/>
  <c r="M379" i="1" s="1"/>
  <c r="K379" i="1"/>
  <c r="J146" i="1"/>
  <c r="M146" i="1" s="1"/>
  <c r="K146" i="1"/>
  <c r="J114" i="1"/>
  <c r="M114" i="1" s="1"/>
  <c r="K114" i="1"/>
  <c r="J98" i="1"/>
  <c r="M98" i="1" s="1"/>
  <c r="K98" i="1"/>
  <c r="J82" i="1"/>
  <c r="M82" i="1" s="1"/>
  <c r="K82" i="1"/>
  <c r="J161" i="1"/>
  <c r="M161" i="1" s="1"/>
  <c r="K161" i="1"/>
  <c r="J153" i="1"/>
  <c r="M153" i="1" s="1"/>
  <c r="K153" i="1"/>
  <c r="J145" i="1"/>
  <c r="M145" i="1" s="1"/>
  <c r="K145" i="1"/>
  <c r="J137" i="1"/>
  <c r="M137" i="1" s="1"/>
  <c r="K137" i="1"/>
  <c r="J129" i="1"/>
  <c r="M129" i="1" s="1"/>
  <c r="K129" i="1"/>
  <c r="J121" i="1"/>
  <c r="M121" i="1" s="1"/>
  <c r="K121" i="1"/>
  <c r="J113" i="1"/>
  <c r="M113" i="1" s="1"/>
  <c r="K113" i="1"/>
  <c r="J105" i="1"/>
  <c r="M105" i="1" s="1"/>
  <c r="K105" i="1"/>
  <c r="J97" i="1"/>
  <c r="M97" i="1" s="1"/>
  <c r="K97" i="1"/>
  <c r="J89" i="1"/>
  <c r="M89" i="1" s="1"/>
  <c r="K89" i="1"/>
  <c r="J81" i="1"/>
  <c r="M81" i="1" s="1"/>
  <c r="K81" i="1"/>
  <c r="J73" i="1"/>
  <c r="M73" i="1" s="1"/>
  <c r="K73" i="1"/>
  <c r="J65" i="1"/>
  <c r="M65" i="1" s="1"/>
  <c r="K65" i="1"/>
  <c r="J57" i="1"/>
  <c r="M57" i="1" s="1"/>
  <c r="K57" i="1"/>
  <c r="J49" i="1"/>
  <c r="M49" i="1" s="1"/>
  <c r="K49" i="1"/>
  <c r="J41" i="1"/>
  <c r="M41" i="1" s="1"/>
  <c r="K41" i="1"/>
  <c r="J33" i="1"/>
  <c r="M33" i="1" s="1"/>
  <c r="K33" i="1"/>
  <c r="J25" i="1"/>
  <c r="M25" i="1" s="1"/>
  <c r="K25" i="1"/>
  <c r="J17" i="1"/>
  <c r="M17" i="1" s="1"/>
  <c r="K17" i="1"/>
  <c r="J9" i="1"/>
  <c r="M9" i="1" s="1"/>
  <c r="K9" i="1"/>
  <c r="J210" i="1"/>
  <c r="M210" i="1" s="1"/>
  <c r="K210" i="1"/>
  <c r="J202" i="1"/>
  <c r="M202" i="1" s="1"/>
  <c r="K202" i="1"/>
  <c r="J194" i="1"/>
  <c r="M194" i="1" s="1"/>
  <c r="K194" i="1"/>
  <c r="J186" i="1"/>
  <c r="M186" i="1" s="1"/>
  <c r="K186" i="1"/>
  <c r="J178" i="1"/>
  <c r="M178" i="1" s="1"/>
  <c r="K178" i="1"/>
  <c r="J170" i="1"/>
  <c r="M170" i="1" s="1"/>
  <c r="K170" i="1"/>
  <c r="J215" i="1"/>
  <c r="M215" i="1" s="1"/>
  <c r="K215" i="1"/>
  <c r="J265" i="1"/>
  <c r="M265" i="1" s="1"/>
  <c r="K265" i="1"/>
  <c r="J257" i="1"/>
  <c r="M257" i="1" s="1"/>
  <c r="K257" i="1"/>
  <c r="J249" i="1"/>
  <c r="M249" i="1" s="1"/>
  <c r="K249" i="1"/>
  <c r="J241" i="1"/>
  <c r="M241" i="1" s="1"/>
  <c r="K241" i="1"/>
  <c r="J233" i="1"/>
  <c r="M233" i="1" s="1"/>
  <c r="K233" i="1"/>
  <c r="J225" i="1"/>
  <c r="M225" i="1" s="1"/>
  <c r="K225" i="1"/>
  <c r="J217" i="1"/>
  <c r="M217" i="1" s="1"/>
  <c r="K217" i="1"/>
  <c r="J297" i="1"/>
  <c r="M297" i="1" s="1"/>
  <c r="K297" i="1"/>
  <c r="J289" i="1"/>
  <c r="M289" i="1" s="1"/>
  <c r="K289" i="1"/>
  <c r="J281" i="1"/>
  <c r="M281" i="1" s="1"/>
  <c r="K281" i="1"/>
  <c r="J273" i="1"/>
  <c r="M273" i="1" s="1"/>
  <c r="K273" i="1"/>
  <c r="J321" i="1"/>
  <c r="M321" i="1" s="1"/>
  <c r="K321" i="1"/>
  <c r="J330" i="1"/>
  <c r="M330" i="1" s="1"/>
  <c r="K330" i="1"/>
  <c r="J315" i="1"/>
  <c r="M315" i="1" s="1"/>
  <c r="K315" i="1"/>
  <c r="J307" i="1"/>
  <c r="M307" i="1" s="1"/>
  <c r="K307" i="1"/>
  <c r="J346" i="1"/>
  <c r="M346" i="1" s="1"/>
  <c r="J339" i="1"/>
  <c r="M339" i="1" s="1"/>
  <c r="K339" i="1"/>
  <c r="J375" i="1"/>
  <c r="M375" i="1" s="1"/>
  <c r="K375" i="1"/>
  <c r="J369" i="1"/>
  <c r="M369" i="1" s="1"/>
  <c r="K369" i="1"/>
  <c r="J362" i="1"/>
  <c r="M362" i="1" s="1"/>
  <c r="K362" i="1"/>
  <c r="J354" i="1"/>
  <c r="M354" i="1" s="1"/>
  <c r="J399" i="1"/>
  <c r="M399" i="1" s="1"/>
  <c r="J392" i="1"/>
  <c r="M392" i="1" s="1"/>
  <c r="K392" i="1"/>
  <c r="J385" i="1"/>
  <c r="M385" i="1" s="1"/>
  <c r="K385" i="1"/>
  <c r="J378" i="1"/>
  <c r="M378" i="1" s="1"/>
  <c r="K378" i="1"/>
  <c r="J156" i="1"/>
  <c r="M156" i="1" s="1"/>
  <c r="K156" i="1"/>
  <c r="J152" i="1"/>
  <c r="M152" i="1" s="1"/>
  <c r="K152" i="1"/>
  <c r="J112" i="1"/>
  <c r="M112" i="1" s="1"/>
  <c r="K112" i="1"/>
  <c r="J80" i="1"/>
  <c r="M80" i="1" s="1"/>
  <c r="K80" i="1"/>
  <c r="J64" i="1"/>
  <c r="M64" i="1" s="1"/>
  <c r="K64" i="1"/>
  <c r="J48" i="1"/>
  <c r="M48" i="1" s="1"/>
  <c r="K48" i="1"/>
  <c r="J40" i="1"/>
  <c r="M40" i="1" s="1"/>
  <c r="K40" i="1"/>
  <c r="J32" i="1"/>
  <c r="M32" i="1" s="1"/>
  <c r="K32" i="1"/>
  <c r="J16" i="1"/>
  <c r="M16" i="1" s="1"/>
  <c r="K16" i="1"/>
  <c r="J8" i="1"/>
  <c r="M8" i="1" s="1"/>
  <c r="K8" i="1"/>
  <c r="J209" i="1"/>
  <c r="M209" i="1" s="1"/>
  <c r="K209" i="1"/>
  <c r="J201" i="1"/>
  <c r="M201" i="1" s="1"/>
  <c r="K201" i="1"/>
  <c r="J193" i="1"/>
  <c r="M193" i="1" s="1"/>
  <c r="K193" i="1"/>
  <c r="J185" i="1"/>
  <c r="M185" i="1" s="1"/>
  <c r="K185" i="1"/>
  <c r="J177" i="1"/>
  <c r="M177" i="1" s="1"/>
  <c r="K177" i="1"/>
  <c r="J169" i="1"/>
  <c r="M169" i="1" s="1"/>
  <c r="K169" i="1"/>
  <c r="J214" i="1"/>
  <c r="M214" i="1" s="1"/>
  <c r="K214" i="1"/>
  <c r="J264" i="1"/>
  <c r="M264" i="1" s="1"/>
  <c r="K264" i="1"/>
  <c r="J256" i="1"/>
  <c r="M256" i="1" s="1"/>
  <c r="K256" i="1"/>
  <c r="J248" i="1"/>
  <c r="M248" i="1" s="1"/>
  <c r="K248" i="1"/>
  <c r="J240" i="1"/>
  <c r="M240" i="1" s="1"/>
  <c r="K240" i="1"/>
  <c r="J232" i="1"/>
  <c r="M232" i="1" s="1"/>
  <c r="K232" i="1"/>
  <c r="J224" i="1"/>
  <c r="M224" i="1" s="1"/>
  <c r="K224" i="1"/>
  <c r="J317" i="1"/>
  <c r="M317" i="1" s="1"/>
  <c r="K317" i="1"/>
  <c r="J296" i="1"/>
  <c r="M296" i="1" s="1"/>
  <c r="K296" i="1"/>
  <c r="J288" i="1"/>
  <c r="M288" i="1" s="1"/>
  <c r="K288" i="1"/>
  <c r="J280" i="1"/>
  <c r="M280" i="1" s="1"/>
  <c r="K280" i="1"/>
  <c r="J272" i="1"/>
  <c r="M272" i="1" s="1"/>
  <c r="K272" i="1"/>
  <c r="J320" i="1"/>
  <c r="M320" i="1" s="1"/>
  <c r="K320" i="1"/>
  <c r="J331" i="1"/>
  <c r="M331" i="1" s="1"/>
  <c r="K331" i="1"/>
  <c r="J314" i="1"/>
  <c r="M314" i="1" s="1"/>
  <c r="K314" i="1"/>
  <c r="J306" i="1"/>
  <c r="M306" i="1" s="1"/>
  <c r="K306" i="1"/>
  <c r="J338" i="1"/>
  <c r="M338" i="1" s="1"/>
  <c r="K338" i="1"/>
  <c r="J368" i="1"/>
  <c r="M368" i="1" s="1"/>
  <c r="K368" i="1"/>
  <c r="J361" i="1"/>
  <c r="M361" i="1" s="1"/>
  <c r="K361" i="1"/>
  <c r="J391" i="1"/>
  <c r="M391" i="1" s="1"/>
  <c r="K391" i="1"/>
  <c r="J384" i="1"/>
  <c r="M384" i="1" s="1"/>
  <c r="K384" i="1"/>
  <c r="J377" i="1"/>
  <c r="M377" i="1" s="1"/>
  <c r="K377" i="1"/>
  <c r="J138" i="1"/>
  <c r="M138" i="1" s="1"/>
  <c r="K138" i="1"/>
  <c r="J144" i="1"/>
  <c r="M144" i="1" s="1"/>
  <c r="K144" i="1"/>
  <c r="J120" i="1"/>
  <c r="M120" i="1" s="1"/>
  <c r="K120" i="1"/>
  <c r="J88" i="1"/>
  <c r="M88" i="1" s="1"/>
  <c r="K88" i="1"/>
  <c r="J72" i="1"/>
  <c r="M72" i="1" s="1"/>
  <c r="K72" i="1"/>
  <c r="J56" i="1"/>
  <c r="M56" i="1" s="1"/>
  <c r="K56" i="1"/>
  <c r="J24" i="1"/>
  <c r="M24" i="1" s="1"/>
  <c r="K24" i="1"/>
  <c r="J159" i="1"/>
  <c r="M159" i="1" s="1"/>
  <c r="K159" i="1"/>
  <c r="J151" i="1"/>
  <c r="M151" i="1" s="1"/>
  <c r="K151" i="1"/>
  <c r="J143" i="1"/>
  <c r="M143" i="1" s="1"/>
  <c r="K143" i="1"/>
  <c r="J135" i="1"/>
  <c r="M135" i="1" s="1"/>
  <c r="K135" i="1"/>
  <c r="J127" i="1"/>
  <c r="M127" i="1" s="1"/>
  <c r="K127" i="1"/>
  <c r="J119" i="1"/>
  <c r="M119" i="1" s="1"/>
  <c r="K119" i="1"/>
  <c r="J111" i="1"/>
  <c r="M111" i="1" s="1"/>
  <c r="K111" i="1"/>
  <c r="J103" i="1"/>
  <c r="M103" i="1" s="1"/>
  <c r="K103" i="1"/>
  <c r="J95" i="1"/>
  <c r="M95" i="1" s="1"/>
  <c r="K95" i="1"/>
  <c r="J87" i="1"/>
  <c r="M87" i="1" s="1"/>
  <c r="K87" i="1"/>
  <c r="J79" i="1"/>
  <c r="M79" i="1" s="1"/>
  <c r="K79" i="1"/>
  <c r="J71" i="1"/>
  <c r="M71" i="1" s="1"/>
  <c r="K71" i="1"/>
  <c r="J63" i="1"/>
  <c r="M63" i="1" s="1"/>
  <c r="K63" i="1"/>
  <c r="J55" i="1"/>
  <c r="M55" i="1" s="1"/>
  <c r="K55" i="1"/>
  <c r="J47" i="1"/>
  <c r="M47" i="1" s="1"/>
  <c r="K47" i="1"/>
  <c r="J39" i="1"/>
  <c r="M39" i="1" s="1"/>
  <c r="K39" i="1"/>
  <c r="J31" i="1"/>
  <c r="M31" i="1" s="1"/>
  <c r="K31" i="1"/>
  <c r="J23" i="1"/>
  <c r="M23" i="1" s="1"/>
  <c r="K23" i="1"/>
  <c r="J15" i="1"/>
  <c r="M15" i="1" s="1"/>
  <c r="K15" i="1"/>
  <c r="J7" i="1"/>
  <c r="M7" i="1" s="1"/>
  <c r="K7" i="1"/>
  <c r="J208" i="1"/>
  <c r="M208" i="1" s="1"/>
  <c r="K208" i="1"/>
  <c r="J200" i="1"/>
  <c r="M200" i="1" s="1"/>
  <c r="K200" i="1"/>
  <c r="J192" i="1"/>
  <c r="M192" i="1" s="1"/>
  <c r="K192" i="1"/>
  <c r="J184" i="1"/>
  <c r="M184" i="1" s="1"/>
  <c r="K184" i="1"/>
  <c r="J176" i="1"/>
  <c r="M176" i="1" s="1"/>
  <c r="K176" i="1"/>
  <c r="J168" i="1"/>
  <c r="M168" i="1" s="1"/>
  <c r="K168" i="1"/>
  <c r="J213" i="1"/>
  <c r="M213" i="1" s="1"/>
  <c r="K213" i="1"/>
  <c r="J263" i="1"/>
  <c r="M263" i="1" s="1"/>
  <c r="K263" i="1"/>
  <c r="J255" i="1"/>
  <c r="M255" i="1" s="1"/>
  <c r="K255" i="1"/>
  <c r="J247" i="1"/>
  <c r="M247" i="1" s="1"/>
  <c r="K247" i="1"/>
  <c r="J239" i="1"/>
  <c r="M239" i="1" s="1"/>
  <c r="K239" i="1"/>
  <c r="J231" i="1"/>
  <c r="M231" i="1" s="1"/>
  <c r="K231" i="1"/>
  <c r="J223" i="1"/>
  <c r="M223" i="1" s="1"/>
  <c r="K223" i="1"/>
  <c r="J303" i="1"/>
  <c r="M303" i="1" s="1"/>
  <c r="K303" i="1"/>
  <c r="J295" i="1"/>
  <c r="M295" i="1" s="1"/>
  <c r="K295" i="1"/>
  <c r="J287" i="1"/>
  <c r="M287" i="1" s="1"/>
  <c r="K287" i="1"/>
  <c r="J279" i="1"/>
  <c r="M279" i="1" s="1"/>
  <c r="K279" i="1"/>
  <c r="J271" i="1"/>
  <c r="M271" i="1" s="1"/>
  <c r="K271" i="1"/>
  <c r="J319" i="1"/>
  <c r="M319" i="1" s="1"/>
  <c r="K319" i="1"/>
  <c r="J332" i="1"/>
  <c r="M332" i="1" s="1"/>
  <c r="K332" i="1"/>
  <c r="J313" i="1"/>
  <c r="M313" i="1" s="1"/>
  <c r="K313" i="1"/>
  <c r="J305" i="1"/>
  <c r="M305" i="1" s="1"/>
  <c r="K305" i="1"/>
  <c r="J345" i="1"/>
  <c r="M345" i="1" s="1"/>
  <c r="K345" i="1"/>
  <c r="J337" i="1"/>
  <c r="M337" i="1" s="1"/>
  <c r="K337" i="1"/>
  <c r="J367" i="1"/>
  <c r="M367" i="1" s="1"/>
  <c r="K367" i="1"/>
  <c r="J360" i="1"/>
  <c r="M360" i="1" s="1"/>
  <c r="K360" i="1"/>
  <c r="J353" i="1"/>
  <c r="M353" i="1" s="1"/>
  <c r="K353" i="1"/>
  <c r="J398" i="1"/>
  <c r="M398" i="1" s="1"/>
  <c r="K398" i="1"/>
  <c r="J390" i="1"/>
  <c r="M390" i="1" s="1"/>
  <c r="K390" i="1"/>
  <c r="J383" i="1"/>
  <c r="M383" i="1" s="1"/>
  <c r="K383" i="1"/>
  <c r="J154" i="1"/>
  <c r="M154" i="1" s="1"/>
  <c r="K154" i="1"/>
  <c r="J160" i="1"/>
  <c r="M160" i="1" s="1"/>
  <c r="K160" i="1"/>
  <c r="J128" i="1"/>
  <c r="M128" i="1" s="1"/>
  <c r="K128" i="1"/>
  <c r="J96" i="1"/>
  <c r="M96" i="1" s="1"/>
  <c r="K96" i="1"/>
  <c r="J150" i="1"/>
  <c r="M150" i="1" s="1"/>
  <c r="K150" i="1"/>
  <c r="J134" i="1"/>
  <c r="M134" i="1" s="1"/>
  <c r="K134" i="1"/>
  <c r="J126" i="1"/>
  <c r="M126" i="1" s="1"/>
  <c r="K126" i="1"/>
  <c r="J118" i="1"/>
  <c r="M118" i="1" s="1"/>
  <c r="K118" i="1"/>
  <c r="J110" i="1"/>
  <c r="M110" i="1" s="1"/>
  <c r="K110" i="1"/>
  <c r="J102" i="1"/>
  <c r="M102" i="1" s="1"/>
  <c r="K102" i="1"/>
  <c r="J94" i="1"/>
  <c r="M94" i="1" s="1"/>
  <c r="K94" i="1"/>
  <c r="J86" i="1"/>
  <c r="M86" i="1" s="1"/>
  <c r="K86" i="1"/>
  <c r="J78" i="1"/>
  <c r="M78" i="1" s="1"/>
  <c r="K78" i="1"/>
  <c r="J70" i="1"/>
  <c r="M70" i="1" s="1"/>
  <c r="K70" i="1"/>
  <c r="J62" i="1"/>
  <c r="M62" i="1" s="1"/>
  <c r="K62" i="1"/>
  <c r="J54" i="1"/>
  <c r="M54" i="1" s="1"/>
  <c r="K54" i="1"/>
  <c r="J46" i="1"/>
  <c r="M46" i="1" s="1"/>
  <c r="K46" i="1"/>
  <c r="J38" i="1"/>
  <c r="M38" i="1" s="1"/>
  <c r="K38" i="1"/>
  <c r="J30" i="1"/>
  <c r="M30" i="1" s="1"/>
  <c r="K30" i="1"/>
  <c r="J22" i="1"/>
  <c r="M22" i="1" s="1"/>
  <c r="K22" i="1"/>
  <c r="J14" i="1"/>
  <c r="M14" i="1" s="1"/>
  <c r="K14" i="1"/>
  <c r="J6" i="1"/>
  <c r="M6" i="1" s="1"/>
  <c r="K6" i="1"/>
  <c r="J207" i="1"/>
  <c r="M207" i="1" s="1"/>
  <c r="K207" i="1"/>
  <c r="J199" i="1"/>
  <c r="M199" i="1" s="1"/>
  <c r="K199" i="1"/>
  <c r="J191" i="1"/>
  <c r="M191" i="1" s="1"/>
  <c r="K191" i="1"/>
  <c r="J183" i="1"/>
  <c r="M183" i="1" s="1"/>
  <c r="K183" i="1"/>
  <c r="J175" i="1"/>
  <c r="M175" i="1" s="1"/>
  <c r="K175" i="1"/>
  <c r="J167" i="1"/>
  <c r="M167" i="1" s="1"/>
  <c r="K167" i="1"/>
  <c r="J216" i="1"/>
  <c r="M216" i="1" s="1"/>
  <c r="K216" i="1"/>
  <c r="J262" i="1"/>
  <c r="M262" i="1" s="1"/>
  <c r="K262" i="1"/>
  <c r="J254" i="1"/>
  <c r="M254" i="1" s="1"/>
  <c r="K254" i="1"/>
  <c r="J246" i="1"/>
  <c r="M246" i="1" s="1"/>
  <c r="K246" i="1"/>
  <c r="J238" i="1"/>
  <c r="M238" i="1" s="1"/>
  <c r="K238" i="1"/>
  <c r="J230" i="1"/>
  <c r="M230" i="1" s="1"/>
  <c r="K230" i="1"/>
  <c r="J222" i="1"/>
  <c r="M222" i="1" s="1"/>
  <c r="K222" i="1"/>
  <c r="J302" i="1"/>
  <c r="M302" i="1" s="1"/>
  <c r="K302" i="1"/>
  <c r="J294" i="1"/>
  <c r="M294" i="1" s="1"/>
  <c r="K294" i="1"/>
  <c r="J286" i="1"/>
  <c r="M286" i="1" s="1"/>
  <c r="K286" i="1"/>
  <c r="J278" i="1"/>
  <c r="M278" i="1" s="1"/>
  <c r="K278" i="1"/>
  <c r="J270" i="1"/>
  <c r="M270" i="1" s="1"/>
  <c r="K270" i="1"/>
  <c r="J325" i="1"/>
  <c r="M325" i="1" s="1"/>
  <c r="K325" i="1"/>
  <c r="J333" i="1"/>
  <c r="M333" i="1" s="1"/>
  <c r="K333" i="1"/>
  <c r="J312" i="1"/>
  <c r="M312" i="1" s="1"/>
  <c r="K312" i="1"/>
  <c r="J304" i="1"/>
  <c r="M304" i="1" s="1"/>
  <c r="K304" i="1"/>
  <c r="J344" i="1"/>
  <c r="M344" i="1" s="1"/>
  <c r="K344" i="1"/>
  <c r="J336" i="1"/>
  <c r="M336" i="1" s="1"/>
  <c r="K336" i="1"/>
  <c r="J373" i="1"/>
  <c r="M373" i="1" s="1"/>
  <c r="K373" i="1"/>
  <c r="J366" i="1"/>
  <c r="M366" i="1" s="1"/>
  <c r="K366" i="1"/>
  <c r="J359" i="1"/>
  <c r="M359" i="1" s="1"/>
  <c r="K359" i="1"/>
  <c r="J352" i="1"/>
  <c r="M352" i="1" s="1"/>
  <c r="K352" i="1"/>
  <c r="J397" i="1"/>
  <c r="M397" i="1" s="1"/>
  <c r="K397" i="1"/>
  <c r="J389" i="1"/>
  <c r="M389" i="1" s="1"/>
  <c r="J382" i="1"/>
  <c r="M382" i="1" s="1"/>
  <c r="K382" i="1"/>
</calcChain>
</file>

<file path=xl/sharedStrings.xml><?xml version="1.0" encoding="utf-8"?>
<sst xmlns="http://schemas.openxmlformats.org/spreadsheetml/2006/main" count="425" uniqueCount="30">
  <si>
    <t>R1</t>
  </si>
  <si>
    <t>f (Hz)</t>
  </si>
  <si>
    <r>
      <t>N</t>
    </r>
    <r>
      <rPr>
        <vertAlign val="subscript"/>
        <sz val="11"/>
        <color theme="1"/>
        <rFont val="Calibri"/>
        <family val="2"/>
        <scheme val="minor"/>
      </rPr>
      <t>1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</si>
  <si>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</si>
  <si>
    <r>
      <t>N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</si>
  <si>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avg</t>
    </r>
  </si>
  <si>
    <r>
      <t>N</t>
    </r>
    <r>
      <rPr>
        <vertAlign val="subscript"/>
        <sz val="11"/>
        <color theme="1"/>
        <rFont val="Calibri"/>
        <family val="2"/>
        <scheme val="minor"/>
      </rPr>
      <t>std</t>
    </r>
  </si>
  <si>
    <r>
      <t>x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(mm)</t>
    </r>
  </si>
  <si>
    <r>
      <t>Re</t>
    </r>
    <r>
      <rPr>
        <vertAlign val="subscript"/>
        <sz val="11"/>
        <color theme="1"/>
        <rFont val="Calibri"/>
        <family val="2"/>
        <scheme val="minor"/>
      </rPr>
      <t>n</t>
    </r>
  </si>
  <si>
    <r>
      <t>D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(mm)</t>
    </r>
  </si>
  <si>
    <r>
      <t>R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(mm)</t>
    </r>
  </si>
  <si>
    <t>P (mm)</t>
  </si>
  <si>
    <t>V (mL)</t>
  </si>
  <si>
    <r>
      <t>Re</t>
    </r>
    <r>
      <rPr>
        <vertAlign val="subscript"/>
        <sz val="11"/>
        <color theme="1"/>
        <rFont val="Calibri"/>
        <family val="2"/>
        <scheme val="minor"/>
      </rPr>
      <t>o</t>
    </r>
  </si>
  <si>
    <r>
      <t>De</t>
    </r>
    <r>
      <rPr>
        <vertAlign val="subscript"/>
        <sz val="11"/>
        <color theme="1"/>
        <rFont val="Calibri"/>
        <family val="2"/>
        <scheme val="minor"/>
      </rPr>
      <t>o</t>
    </r>
  </si>
  <si>
    <t>Design</t>
  </si>
  <si>
    <t>R2</t>
  </si>
  <si>
    <t>R3</t>
  </si>
  <si>
    <t>R4</t>
  </si>
  <si>
    <t>R5</t>
  </si>
  <si>
    <t>R6</t>
  </si>
  <si>
    <t>Geometric Parameters</t>
  </si>
  <si>
    <t>Operating Conditions</t>
  </si>
  <si>
    <t>Calculated Variables</t>
  </si>
  <si>
    <t>Results</t>
  </si>
  <si>
    <r>
      <t>N</t>
    </r>
    <r>
      <rPr>
        <vertAlign val="subscript"/>
        <sz val="11"/>
        <color theme="1"/>
        <rFont val="Calibri"/>
        <family val="2"/>
        <scheme val="minor"/>
      </rPr>
      <t>4</t>
    </r>
  </si>
  <si>
    <r>
      <t>N</t>
    </r>
    <r>
      <rPr>
        <vertAlign val="subscript"/>
        <sz val="11"/>
        <color theme="1"/>
        <rFont val="Calibri"/>
        <family val="2"/>
        <scheme val="minor"/>
      </rPr>
      <t>5</t>
    </r>
  </si>
  <si>
    <t>St</t>
  </si>
  <si>
    <r>
      <t>De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(x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/R</t>
    </r>
    <r>
      <rPr>
        <vertAlign val="sub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)/Re</t>
    </r>
    <r>
      <rPr>
        <vertAlign val="subscript"/>
        <sz val="11"/>
        <color theme="1"/>
        <rFont val="Calibri"/>
        <family val="2"/>
        <scheme val="minor"/>
      </rPr>
      <t>n</t>
    </r>
  </si>
  <si>
    <t>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</si>
</sst>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center" vertical="center"/>
    </xf>
    <xf numFmtId="0" fontId="0" fillId="4" borderId="0" xfId="0" applyFill="1"/>
    <xf numFmtId="0" fontId="1" fillId="3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68691413573303"/>
          <c:y val="5.1342592592592592E-2"/>
          <c:w val="0.71097446152564248"/>
          <c:h val="0.73172098279381748"/>
        </c:manualLayout>
      </c:layout>
      <c:scatterChart>
        <c:scatterStyle val="lineMarker"/>
        <c:varyColors val="0"/>
        <c:ser>
          <c:idx val="0"/>
          <c:order val="0"/>
          <c:tx>
            <c:v>R1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Sheet1!$M$3:$M$162</c:f>
              <c:numCache>
                <c:formatCode>0</c:formatCode>
                <c:ptCount val="160"/>
                <c:pt idx="0">
                  <c:v>0</c:v>
                </c:pt>
                <c:pt idx="1">
                  <c:v>0.28043060406314585</c:v>
                </c:pt>
                <c:pt idx="2">
                  <c:v>0.5608612081262917</c:v>
                </c:pt>
                <c:pt idx="3">
                  <c:v>0.84129181218943727</c:v>
                </c:pt>
                <c:pt idx="4">
                  <c:v>1.1217224162525834</c:v>
                </c:pt>
                <c:pt idx="5">
                  <c:v>1.4021530203157293</c:v>
                </c:pt>
                <c:pt idx="6">
                  <c:v>1.6825836243788745</c:v>
                </c:pt>
                <c:pt idx="7">
                  <c:v>1.9630142284420207</c:v>
                </c:pt>
                <c:pt idx="8">
                  <c:v>2.2434448325051668</c:v>
                </c:pt>
                <c:pt idx="9">
                  <c:v>1.1217224162525834</c:v>
                </c:pt>
                <c:pt idx="10">
                  <c:v>2.2434448325051668</c:v>
                </c:pt>
                <c:pt idx="11">
                  <c:v>3.3651672487577491</c:v>
                </c:pt>
                <c:pt idx="12">
                  <c:v>4.4868896650103336</c:v>
                </c:pt>
                <c:pt idx="13">
                  <c:v>5.6086120812629172</c:v>
                </c:pt>
                <c:pt idx="14">
                  <c:v>6.7303344975154982</c:v>
                </c:pt>
                <c:pt idx="15">
                  <c:v>7.8520569137680827</c:v>
                </c:pt>
                <c:pt idx="16">
                  <c:v>2.5238754365683116</c:v>
                </c:pt>
                <c:pt idx="17">
                  <c:v>5.0477508731366232</c:v>
                </c:pt>
                <c:pt idx="18">
                  <c:v>7.5716263097049366</c:v>
                </c:pt>
                <c:pt idx="19">
                  <c:v>10.095501746273246</c:v>
                </c:pt>
                <c:pt idx="20">
                  <c:v>12.619377182841564</c:v>
                </c:pt>
                <c:pt idx="21">
                  <c:v>15.143252619409873</c:v>
                </c:pt>
                <c:pt idx="22">
                  <c:v>4.4868896650103336</c:v>
                </c:pt>
                <c:pt idx="23">
                  <c:v>8.9737793300206672</c:v>
                </c:pt>
                <c:pt idx="24">
                  <c:v>13.460668995030996</c:v>
                </c:pt>
                <c:pt idx="25">
                  <c:v>17.947558660041334</c:v>
                </c:pt>
                <c:pt idx="26">
                  <c:v>22.434448325051669</c:v>
                </c:pt>
                <c:pt idx="27">
                  <c:v>26.921337990061993</c:v>
                </c:pt>
                <c:pt idx="28">
                  <c:v>17.947558660041334</c:v>
                </c:pt>
                <c:pt idx="29">
                  <c:v>35.895117320082669</c:v>
                </c:pt>
                <c:pt idx="30">
                  <c:v>53.842675980123985</c:v>
                </c:pt>
                <c:pt idx="31">
                  <c:v>71.790234640165338</c:v>
                </c:pt>
                <c:pt idx="32">
                  <c:v>0</c:v>
                </c:pt>
                <c:pt idx="33">
                  <c:v>0.14021530203157292</c:v>
                </c:pt>
                <c:pt idx="34">
                  <c:v>0.28043060406314585</c:v>
                </c:pt>
                <c:pt idx="35">
                  <c:v>0.42064590609471864</c:v>
                </c:pt>
                <c:pt idx="36">
                  <c:v>0.5608612081262917</c:v>
                </c:pt>
                <c:pt idx="37">
                  <c:v>0.70107651015786465</c:v>
                </c:pt>
                <c:pt idx="38">
                  <c:v>0.84129181218943727</c:v>
                </c:pt>
                <c:pt idx="39">
                  <c:v>0.98150711422101033</c:v>
                </c:pt>
                <c:pt idx="40">
                  <c:v>1.1217224162525834</c:v>
                </c:pt>
                <c:pt idx="41">
                  <c:v>0.5608612081262917</c:v>
                </c:pt>
                <c:pt idx="42">
                  <c:v>1.1217224162525834</c:v>
                </c:pt>
                <c:pt idx="43">
                  <c:v>1.6825836243788745</c:v>
                </c:pt>
                <c:pt idx="44">
                  <c:v>2.2434448325051668</c:v>
                </c:pt>
                <c:pt idx="45">
                  <c:v>2.8043060406314586</c:v>
                </c:pt>
                <c:pt idx="46">
                  <c:v>3.3651672487577491</c:v>
                </c:pt>
                <c:pt idx="47">
                  <c:v>3.9260284568840413</c:v>
                </c:pt>
                <c:pt idx="48">
                  <c:v>1.2619377182841558</c:v>
                </c:pt>
                <c:pt idx="49">
                  <c:v>2.5238754365683116</c:v>
                </c:pt>
                <c:pt idx="50">
                  <c:v>3.7858131548524683</c:v>
                </c:pt>
                <c:pt idx="51">
                  <c:v>5.0477508731366232</c:v>
                </c:pt>
                <c:pt idx="52">
                  <c:v>6.3096885914207821</c:v>
                </c:pt>
                <c:pt idx="53">
                  <c:v>7.5716263097049366</c:v>
                </c:pt>
                <c:pt idx="54">
                  <c:v>2.2434448325051668</c:v>
                </c:pt>
                <c:pt idx="55">
                  <c:v>4.4868896650103336</c:v>
                </c:pt>
                <c:pt idx="56">
                  <c:v>6.7303344975154982</c:v>
                </c:pt>
                <c:pt idx="57">
                  <c:v>8.9737793300206672</c:v>
                </c:pt>
                <c:pt idx="58">
                  <c:v>11.217224162525834</c:v>
                </c:pt>
                <c:pt idx="59">
                  <c:v>13.460668995030996</c:v>
                </c:pt>
                <c:pt idx="60">
                  <c:v>8.9737793300206672</c:v>
                </c:pt>
                <c:pt idx="61">
                  <c:v>17.947558660041334</c:v>
                </c:pt>
                <c:pt idx="62">
                  <c:v>26.921337990061993</c:v>
                </c:pt>
                <c:pt idx="63">
                  <c:v>35.895117320082669</c:v>
                </c:pt>
                <c:pt idx="64">
                  <c:v>0</c:v>
                </c:pt>
                <c:pt idx="65">
                  <c:v>9.3476868021048626E-2</c:v>
                </c:pt>
                <c:pt idx="66">
                  <c:v>0.18695373604209725</c:v>
                </c:pt>
                <c:pt idx="67">
                  <c:v>0.28043060406314579</c:v>
                </c:pt>
                <c:pt idx="68">
                  <c:v>0.3739074720841945</c:v>
                </c:pt>
                <c:pt idx="69">
                  <c:v>0.46738434010524305</c:v>
                </c:pt>
                <c:pt idx="70">
                  <c:v>0.56086120812629159</c:v>
                </c:pt>
                <c:pt idx="71">
                  <c:v>0.65433807614734019</c:v>
                </c:pt>
                <c:pt idx="72">
                  <c:v>0.74781494416838901</c:v>
                </c:pt>
                <c:pt idx="73">
                  <c:v>0.3739074720841945</c:v>
                </c:pt>
                <c:pt idx="74">
                  <c:v>0.74781494416838901</c:v>
                </c:pt>
                <c:pt idx="75">
                  <c:v>1.1217224162525832</c:v>
                </c:pt>
                <c:pt idx="76">
                  <c:v>1.495629888336778</c:v>
                </c:pt>
                <c:pt idx="77">
                  <c:v>1.8695373604209722</c:v>
                </c:pt>
                <c:pt idx="78">
                  <c:v>2.2434448325051664</c:v>
                </c:pt>
                <c:pt idx="79">
                  <c:v>2.6173523045893607</c:v>
                </c:pt>
                <c:pt idx="80">
                  <c:v>0.84129181218943727</c:v>
                </c:pt>
                <c:pt idx="81">
                  <c:v>1.6825836243788745</c:v>
                </c:pt>
                <c:pt idx="82">
                  <c:v>2.523875436568312</c:v>
                </c:pt>
                <c:pt idx="83">
                  <c:v>3.3651672487577491</c:v>
                </c:pt>
                <c:pt idx="84">
                  <c:v>4.2064590609471875</c:v>
                </c:pt>
                <c:pt idx="85">
                  <c:v>5.0477508731366241</c:v>
                </c:pt>
                <c:pt idx="86">
                  <c:v>1.495629888336778</c:v>
                </c:pt>
                <c:pt idx="87">
                  <c:v>2.991259776673556</c:v>
                </c:pt>
                <c:pt idx="88">
                  <c:v>4.4868896650103327</c:v>
                </c:pt>
                <c:pt idx="89">
                  <c:v>5.9825195533471121</c:v>
                </c:pt>
                <c:pt idx="90">
                  <c:v>7.4781494416838887</c:v>
                </c:pt>
                <c:pt idx="91">
                  <c:v>8.9737793300206654</c:v>
                </c:pt>
                <c:pt idx="92">
                  <c:v>5.9825195533471121</c:v>
                </c:pt>
                <c:pt idx="93">
                  <c:v>11.965039106694224</c:v>
                </c:pt>
                <c:pt idx="94">
                  <c:v>17.947558660041331</c:v>
                </c:pt>
                <c:pt idx="95">
                  <c:v>23.930078213388448</c:v>
                </c:pt>
                <c:pt idx="96">
                  <c:v>0</c:v>
                </c:pt>
                <c:pt idx="97">
                  <c:v>7.0107651015786462E-2</c:v>
                </c:pt>
                <c:pt idx="98">
                  <c:v>0.14021530203157292</c:v>
                </c:pt>
                <c:pt idx="99">
                  <c:v>0.21032295304735932</c:v>
                </c:pt>
                <c:pt idx="100">
                  <c:v>0.28043060406314585</c:v>
                </c:pt>
                <c:pt idx="101">
                  <c:v>0.35053825507893233</c:v>
                </c:pt>
                <c:pt idx="102">
                  <c:v>0.42064590609471864</c:v>
                </c:pt>
                <c:pt idx="103">
                  <c:v>0.49075355711050517</c:v>
                </c:pt>
                <c:pt idx="104">
                  <c:v>0.5608612081262917</c:v>
                </c:pt>
                <c:pt idx="105">
                  <c:v>0.28043060406314585</c:v>
                </c:pt>
                <c:pt idx="106">
                  <c:v>0.5608612081262917</c:v>
                </c:pt>
                <c:pt idx="107">
                  <c:v>0.84129181218943727</c:v>
                </c:pt>
                <c:pt idx="108">
                  <c:v>1.1217224162525834</c:v>
                </c:pt>
                <c:pt idx="109">
                  <c:v>1.4021530203157293</c:v>
                </c:pt>
                <c:pt idx="110">
                  <c:v>1.6825836243788745</c:v>
                </c:pt>
                <c:pt idx="111">
                  <c:v>1.9630142284420207</c:v>
                </c:pt>
                <c:pt idx="112">
                  <c:v>0.6309688591420779</c:v>
                </c:pt>
                <c:pt idx="113">
                  <c:v>1.2619377182841558</c:v>
                </c:pt>
                <c:pt idx="114">
                  <c:v>1.8929065774262341</c:v>
                </c:pt>
                <c:pt idx="115">
                  <c:v>2.5238754365683116</c:v>
                </c:pt>
                <c:pt idx="116">
                  <c:v>3.154844295710391</c:v>
                </c:pt>
                <c:pt idx="117">
                  <c:v>3.7858131548524683</c:v>
                </c:pt>
                <c:pt idx="118">
                  <c:v>1.1217224162525834</c:v>
                </c:pt>
                <c:pt idx="119">
                  <c:v>2.2434448325051668</c:v>
                </c:pt>
                <c:pt idx="120">
                  <c:v>3.3651672487577491</c:v>
                </c:pt>
                <c:pt idx="121">
                  <c:v>4.4868896650103336</c:v>
                </c:pt>
                <c:pt idx="122">
                  <c:v>5.6086120812629172</c:v>
                </c:pt>
                <c:pt idx="123">
                  <c:v>6.7303344975154982</c:v>
                </c:pt>
                <c:pt idx="124">
                  <c:v>4.4868896650103336</c:v>
                </c:pt>
                <c:pt idx="125">
                  <c:v>8.9737793300206672</c:v>
                </c:pt>
                <c:pt idx="126">
                  <c:v>13.460668995030996</c:v>
                </c:pt>
                <c:pt idx="127">
                  <c:v>17.947558660041334</c:v>
                </c:pt>
                <c:pt idx="128">
                  <c:v>0</c:v>
                </c:pt>
                <c:pt idx="129">
                  <c:v>5.6086120812629175E-2</c:v>
                </c:pt>
                <c:pt idx="130">
                  <c:v>0.11217224162525835</c:v>
                </c:pt>
                <c:pt idx="131">
                  <c:v>0.16825836243788747</c:v>
                </c:pt>
                <c:pt idx="132">
                  <c:v>0.2243444832505167</c:v>
                </c:pt>
                <c:pt idx="133">
                  <c:v>0.28043060406314585</c:v>
                </c:pt>
                <c:pt idx="134">
                  <c:v>0.33651672487577494</c:v>
                </c:pt>
                <c:pt idx="135">
                  <c:v>0.39260284568840409</c:v>
                </c:pt>
                <c:pt idx="136">
                  <c:v>0.4486889665010334</c:v>
                </c:pt>
                <c:pt idx="137">
                  <c:v>0.2243444832505167</c:v>
                </c:pt>
                <c:pt idx="138">
                  <c:v>0.4486889665010334</c:v>
                </c:pt>
                <c:pt idx="139">
                  <c:v>0.67303344975154988</c:v>
                </c:pt>
                <c:pt idx="140">
                  <c:v>0.89737793300206681</c:v>
                </c:pt>
                <c:pt idx="141">
                  <c:v>1.1217224162525834</c:v>
                </c:pt>
                <c:pt idx="142">
                  <c:v>1.3460668995030998</c:v>
                </c:pt>
                <c:pt idx="143">
                  <c:v>1.5704113827536164</c:v>
                </c:pt>
                <c:pt idx="144">
                  <c:v>0.50477508731366239</c:v>
                </c:pt>
                <c:pt idx="145">
                  <c:v>1.0095501746273248</c:v>
                </c:pt>
                <c:pt idx="146">
                  <c:v>1.5143252619409873</c:v>
                </c:pt>
                <c:pt idx="147">
                  <c:v>2.0191003492546495</c:v>
                </c:pt>
                <c:pt idx="148">
                  <c:v>2.5238754365683125</c:v>
                </c:pt>
                <c:pt idx="149">
                  <c:v>3.0286505238819745</c:v>
                </c:pt>
                <c:pt idx="150">
                  <c:v>0.89737793300206681</c:v>
                </c:pt>
                <c:pt idx="151">
                  <c:v>1.7947558660041336</c:v>
                </c:pt>
                <c:pt idx="152">
                  <c:v>2.6921337990061995</c:v>
                </c:pt>
                <c:pt idx="153">
                  <c:v>3.5895117320082672</c:v>
                </c:pt>
                <c:pt idx="154">
                  <c:v>4.4868896650103336</c:v>
                </c:pt>
                <c:pt idx="155">
                  <c:v>5.3842675980123991</c:v>
                </c:pt>
                <c:pt idx="156">
                  <c:v>3.5895117320082672</c:v>
                </c:pt>
                <c:pt idx="157">
                  <c:v>7.1790234640165345</c:v>
                </c:pt>
                <c:pt idx="158">
                  <c:v>10.768535196024798</c:v>
                </c:pt>
                <c:pt idx="159">
                  <c:v>14.358046928033069</c:v>
                </c:pt>
              </c:numCache>
            </c:numRef>
          </c:xVal>
          <c:yVal>
            <c:numRef>
              <c:f>Sheet1!$S$3:$S$162</c:f>
              <c:numCache>
                <c:formatCode>0.0</c:formatCode>
                <c:ptCount val="160"/>
                <c:pt idx="0">
                  <c:v>12</c:v>
                </c:pt>
                <c:pt idx="1">
                  <c:v>13</c:v>
                </c:pt>
                <c:pt idx="2">
                  <c:v>12.333333333333334</c:v>
                </c:pt>
                <c:pt idx="3">
                  <c:v>11.333333333333334</c:v>
                </c:pt>
                <c:pt idx="4">
                  <c:v>11.666666666666666</c:v>
                </c:pt>
                <c:pt idx="5">
                  <c:v>11</c:v>
                </c:pt>
                <c:pt idx="6">
                  <c:v>10.666666666666666</c:v>
                </c:pt>
                <c:pt idx="7">
                  <c:v>14.666666666666666</c:v>
                </c:pt>
                <c:pt idx="8">
                  <c:v>14</c:v>
                </c:pt>
                <c:pt idx="9">
                  <c:v>28.333333333333332</c:v>
                </c:pt>
                <c:pt idx="10">
                  <c:v>63</c:v>
                </c:pt>
                <c:pt idx="11">
                  <c:v>90</c:v>
                </c:pt>
                <c:pt idx="12">
                  <c:v>71</c:v>
                </c:pt>
                <c:pt idx="13">
                  <c:v>46.666666666666664</c:v>
                </c:pt>
                <c:pt idx="14">
                  <c:v>43.666666666666664</c:v>
                </c:pt>
                <c:pt idx="15">
                  <c:v>57.666666666666664</c:v>
                </c:pt>
                <c:pt idx="16">
                  <c:v>40.666666666666664</c:v>
                </c:pt>
                <c:pt idx="17">
                  <c:v>66.333333333333329</c:v>
                </c:pt>
                <c:pt idx="18">
                  <c:v>39</c:v>
                </c:pt>
                <c:pt idx="19">
                  <c:v>25.666666666666668</c:v>
                </c:pt>
                <c:pt idx="20">
                  <c:v>19.666666666666668</c:v>
                </c:pt>
                <c:pt idx="21">
                  <c:v>26.333333333333332</c:v>
                </c:pt>
                <c:pt idx="22">
                  <c:v>54.666666666666664</c:v>
                </c:pt>
                <c:pt idx="23">
                  <c:v>33.666666666666664</c:v>
                </c:pt>
                <c:pt idx="24">
                  <c:v>22.333333333333332</c:v>
                </c:pt>
                <c:pt idx="25">
                  <c:v>16</c:v>
                </c:pt>
                <c:pt idx="26">
                  <c:v>13.666666666666666</c:v>
                </c:pt>
                <c:pt idx="27">
                  <c:v>15</c:v>
                </c:pt>
                <c:pt idx="28">
                  <c:v>13.333333333333334</c:v>
                </c:pt>
                <c:pt idx="29">
                  <c:v>9</c:v>
                </c:pt>
                <c:pt idx="30">
                  <c:v>7.666666666666667</c:v>
                </c:pt>
                <c:pt idx="31">
                  <c:v>6.666666666666667</c:v>
                </c:pt>
                <c:pt idx="32">
                  <c:v>12.666666666666666</c:v>
                </c:pt>
                <c:pt idx="33">
                  <c:v>10.666666666666666</c:v>
                </c:pt>
                <c:pt idx="34">
                  <c:v>12.666666666666666</c:v>
                </c:pt>
                <c:pt idx="35">
                  <c:v>11</c:v>
                </c:pt>
                <c:pt idx="36">
                  <c:v>13</c:v>
                </c:pt>
                <c:pt idx="37">
                  <c:v>13</c:v>
                </c:pt>
                <c:pt idx="38">
                  <c:v>13.666666666666666</c:v>
                </c:pt>
                <c:pt idx="39">
                  <c:v>16</c:v>
                </c:pt>
                <c:pt idx="40">
                  <c:v>16</c:v>
                </c:pt>
                <c:pt idx="41">
                  <c:v>28</c:v>
                </c:pt>
                <c:pt idx="42">
                  <c:v>47</c:v>
                </c:pt>
                <c:pt idx="43">
                  <c:v>97.333333333333329</c:v>
                </c:pt>
                <c:pt idx="44">
                  <c:v>85.666666666666671</c:v>
                </c:pt>
                <c:pt idx="45">
                  <c:v>60.666666666666664</c:v>
                </c:pt>
                <c:pt idx="46">
                  <c:v>59</c:v>
                </c:pt>
                <c:pt idx="47">
                  <c:v>65.666666666666671</c:v>
                </c:pt>
                <c:pt idx="48">
                  <c:v>32</c:v>
                </c:pt>
                <c:pt idx="49">
                  <c:v>67.333333333333329</c:v>
                </c:pt>
                <c:pt idx="50">
                  <c:v>54</c:v>
                </c:pt>
                <c:pt idx="51">
                  <c:v>42.666666666666664</c:v>
                </c:pt>
                <c:pt idx="52">
                  <c:v>32.333333333333336</c:v>
                </c:pt>
                <c:pt idx="53">
                  <c:v>38</c:v>
                </c:pt>
                <c:pt idx="54">
                  <c:v>41.666666666666664</c:v>
                </c:pt>
                <c:pt idx="55">
                  <c:v>39</c:v>
                </c:pt>
                <c:pt idx="56">
                  <c:v>37.666666666666664</c:v>
                </c:pt>
                <c:pt idx="57">
                  <c:v>23.333333333333332</c:v>
                </c:pt>
                <c:pt idx="58">
                  <c:v>20.666666666666668</c:v>
                </c:pt>
                <c:pt idx="59">
                  <c:v>21</c:v>
                </c:pt>
                <c:pt idx="60">
                  <c:v>20</c:v>
                </c:pt>
                <c:pt idx="61">
                  <c:v>15.333333333333334</c:v>
                </c:pt>
                <c:pt idx="62">
                  <c:v>11.333333333333334</c:v>
                </c:pt>
                <c:pt idx="63">
                  <c:v>10.333333333333334</c:v>
                </c:pt>
                <c:pt idx="64">
                  <c:v>15</c:v>
                </c:pt>
                <c:pt idx="65">
                  <c:v>14.666666666666666</c:v>
                </c:pt>
                <c:pt idx="66">
                  <c:v>15</c:v>
                </c:pt>
                <c:pt idx="67">
                  <c:v>12.666666666666666</c:v>
                </c:pt>
                <c:pt idx="68">
                  <c:v>15</c:v>
                </c:pt>
                <c:pt idx="69">
                  <c:v>22.666666666666668</c:v>
                </c:pt>
                <c:pt idx="70">
                  <c:v>15.333333333333334</c:v>
                </c:pt>
                <c:pt idx="71">
                  <c:v>19.333333333333332</c:v>
                </c:pt>
                <c:pt idx="72">
                  <c:v>17.666666666666668</c:v>
                </c:pt>
                <c:pt idx="73">
                  <c:v>23.666666666666668</c:v>
                </c:pt>
                <c:pt idx="74">
                  <c:v>37</c:v>
                </c:pt>
                <c:pt idx="75">
                  <c:v>64.666666666666671</c:v>
                </c:pt>
                <c:pt idx="76">
                  <c:v>89.666666666666671</c:v>
                </c:pt>
                <c:pt idx="77">
                  <c:v>94.666666666666671</c:v>
                </c:pt>
                <c:pt idx="78">
                  <c:v>92.666666666666671</c:v>
                </c:pt>
                <c:pt idx="79">
                  <c:v>59.333333333333336</c:v>
                </c:pt>
                <c:pt idx="80">
                  <c:v>23.333333333333332</c:v>
                </c:pt>
                <c:pt idx="81">
                  <c:v>65</c:v>
                </c:pt>
                <c:pt idx="82">
                  <c:v>61</c:v>
                </c:pt>
                <c:pt idx="83">
                  <c:v>52.666666666666664</c:v>
                </c:pt>
                <c:pt idx="84">
                  <c:v>45.333333333333336</c:v>
                </c:pt>
                <c:pt idx="85">
                  <c:v>40.333333333333336</c:v>
                </c:pt>
                <c:pt idx="86">
                  <c:v>30</c:v>
                </c:pt>
                <c:pt idx="87">
                  <c:v>31.666666666666668</c:v>
                </c:pt>
                <c:pt idx="88">
                  <c:v>44</c:v>
                </c:pt>
                <c:pt idx="89">
                  <c:v>33.666666666666664</c:v>
                </c:pt>
                <c:pt idx="90">
                  <c:v>30.666666666666668</c:v>
                </c:pt>
                <c:pt idx="91">
                  <c:v>27.333333333333332</c:v>
                </c:pt>
                <c:pt idx="92">
                  <c:v>26.333333333333332</c:v>
                </c:pt>
                <c:pt idx="93">
                  <c:v>20.333333333333332</c:v>
                </c:pt>
                <c:pt idx="94">
                  <c:v>16</c:v>
                </c:pt>
                <c:pt idx="95">
                  <c:v>14.333333333333334</c:v>
                </c:pt>
                <c:pt idx="96">
                  <c:v>12.666666666666666</c:v>
                </c:pt>
                <c:pt idx="97">
                  <c:v>13.666666666666666</c:v>
                </c:pt>
                <c:pt idx="98">
                  <c:v>12</c:v>
                </c:pt>
                <c:pt idx="99">
                  <c:v>14</c:v>
                </c:pt>
                <c:pt idx="100">
                  <c:v>12</c:v>
                </c:pt>
                <c:pt idx="101">
                  <c:v>13.5</c:v>
                </c:pt>
                <c:pt idx="102">
                  <c:v>12</c:v>
                </c:pt>
                <c:pt idx="103">
                  <c:v>12</c:v>
                </c:pt>
                <c:pt idx="104">
                  <c:v>11.333333333333334</c:v>
                </c:pt>
                <c:pt idx="105">
                  <c:v>22</c:v>
                </c:pt>
                <c:pt idx="106">
                  <c:v>35</c:v>
                </c:pt>
                <c:pt idx="107">
                  <c:v>71.666666666666671</c:v>
                </c:pt>
                <c:pt idx="108">
                  <c:v>68.333333333333329</c:v>
                </c:pt>
                <c:pt idx="109">
                  <c:v>88.666666666666671</c:v>
                </c:pt>
                <c:pt idx="110">
                  <c:v>84</c:v>
                </c:pt>
                <c:pt idx="111">
                  <c:v>94.666666666666671</c:v>
                </c:pt>
                <c:pt idx="112">
                  <c:v>18.666666666666668</c:v>
                </c:pt>
                <c:pt idx="113">
                  <c:v>48.333333333333336</c:v>
                </c:pt>
                <c:pt idx="114">
                  <c:v>57.666666666666664</c:v>
                </c:pt>
                <c:pt idx="115">
                  <c:v>63.666666666666664</c:v>
                </c:pt>
                <c:pt idx="116">
                  <c:v>54</c:v>
                </c:pt>
                <c:pt idx="117">
                  <c:v>54.666666666666664</c:v>
                </c:pt>
                <c:pt idx="118">
                  <c:v>26</c:v>
                </c:pt>
                <c:pt idx="119">
                  <c:v>43</c:v>
                </c:pt>
                <c:pt idx="120">
                  <c:v>50.666666666666664</c:v>
                </c:pt>
                <c:pt idx="121">
                  <c:v>37</c:v>
                </c:pt>
                <c:pt idx="122">
                  <c:v>32.333333333333336</c:v>
                </c:pt>
                <c:pt idx="123">
                  <c:v>31.666666666666668</c:v>
                </c:pt>
                <c:pt idx="124">
                  <c:v>30.666666666666668</c:v>
                </c:pt>
                <c:pt idx="125">
                  <c:v>23.666666666666668</c:v>
                </c:pt>
                <c:pt idx="126">
                  <c:v>17.666666666666668</c:v>
                </c:pt>
                <c:pt idx="127">
                  <c:v>16.333333333333332</c:v>
                </c:pt>
                <c:pt idx="128">
                  <c:v>7.666666666666667</c:v>
                </c:pt>
                <c:pt idx="129">
                  <c:v>11</c:v>
                </c:pt>
                <c:pt idx="130">
                  <c:v>12.666666666666666</c:v>
                </c:pt>
                <c:pt idx="131">
                  <c:v>13.666666666666666</c:v>
                </c:pt>
                <c:pt idx="132">
                  <c:v>17.666666666666668</c:v>
                </c:pt>
                <c:pt idx="133">
                  <c:v>13</c:v>
                </c:pt>
                <c:pt idx="134">
                  <c:v>11.5</c:v>
                </c:pt>
                <c:pt idx="135">
                  <c:v>8.6666666666666661</c:v>
                </c:pt>
                <c:pt idx="136">
                  <c:v>8</c:v>
                </c:pt>
                <c:pt idx="137">
                  <c:v>20.666666666666668</c:v>
                </c:pt>
                <c:pt idx="138">
                  <c:v>26</c:v>
                </c:pt>
                <c:pt idx="139">
                  <c:v>42.333333333333336</c:v>
                </c:pt>
                <c:pt idx="140">
                  <c:v>87.333333333333329</c:v>
                </c:pt>
                <c:pt idx="141">
                  <c:v>96.666666666666671</c:v>
                </c:pt>
                <c:pt idx="142">
                  <c:v>100.66666666666667</c:v>
                </c:pt>
                <c:pt idx="143">
                  <c:v>86.666666666666671</c:v>
                </c:pt>
                <c:pt idx="144">
                  <c:v>19.333333333333332</c:v>
                </c:pt>
                <c:pt idx="145">
                  <c:v>50.333333333333336</c:v>
                </c:pt>
                <c:pt idx="146">
                  <c:v>61.666666666666664</c:v>
                </c:pt>
                <c:pt idx="147">
                  <c:v>69.333333333333329</c:v>
                </c:pt>
                <c:pt idx="148">
                  <c:v>60.333333333333336</c:v>
                </c:pt>
                <c:pt idx="149">
                  <c:v>58</c:v>
                </c:pt>
                <c:pt idx="150">
                  <c:v>23</c:v>
                </c:pt>
                <c:pt idx="151">
                  <c:v>47.333333333333336</c:v>
                </c:pt>
                <c:pt idx="152">
                  <c:v>56.666666666666664</c:v>
                </c:pt>
                <c:pt idx="153">
                  <c:v>44</c:v>
                </c:pt>
                <c:pt idx="154">
                  <c:v>39.666666666666664</c:v>
                </c:pt>
                <c:pt idx="155">
                  <c:v>39</c:v>
                </c:pt>
                <c:pt idx="156">
                  <c:v>30.333333333333332</c:v>
                </c:pt>
                <c:pt idx="157">
                  <c:v>27.666666666666668</c:v>
                </c:pt>
                <c:pt idx="158">
                  <c:v>23</c:v>
                </c:pt>
                <c:pt idx="15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B-5C42-A915-1C68A62EC839}"/>
            </c:ext>
          </c:extLst>
        </c:ser>
        <c:ser>
          <c:idx val="1"/>
          <c:order val="1"/>
          <c:tx>
            <c:v>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Sheet1!$M$163:$M$215</c:f>
              <c:numCache>
                <c:formatCode>0</c:formatCode>
                <c:ptCount val="53"/>
                <c:pt idx="0">
                  <c:v>0</c:v>
                </c:pt>
                <c:pt idx="1">
                  <c:v>0.20902063121884096</c:v>
                </c:pt>
                <c:pt idx="2">
                  <c:v>0.41804126243768192</c:v>
                </c:pt>
                <c:pt idx="3">
                  <c:v>0.62706189365652276</c:v>
                </c:pt>
                <c:pt idx="4">
                  <c:v>0.83608252487536383</c:v>
                </c:pt>
                <c:pt idx="5">
                  <c:v>1.0451031560942048</c:v>
                </c:pt>
                <c:pt idx="6">
                  <c:v>0.83608252487536383</c:v>
                </c:pt>
                <c:pt idx="7">
                  <c:v>1.6721650497507277</c:v>
                </c:pt>
                <c:pt idx="8">
                  <c:v>2.508247574626091</c:v>
                </c:pt>
                <c:pt idx="9">
                  <c:v>3.3443300995014553</c:v>
                </c:pt>
                <c:pt idx="10">
                  <c:v>4.1804126243768192</c:v>
                </c:pt>
                <c:pt idx="11">
                  <c:v>1.881185680969568</c:v>
                </c:pt>
                <c:pt idx="12">
                  <c:v>3.7623713619391359</c:v>
                </c:pt>
                <c:pt idx="13">
                  <c:v>5.6435570429087045</c:v>
                </c:pt>
                <c:pt idx="14">
                  <c:v>7.5247427238782718</c:v>
                </c:pt>
                <c:pt idx="15">
                  <c:v>9.4059284048478435</c:v>
                </c:pt>
                <c:pt idx="16">
                  <c:v>3.3443300995014553</c:v>
                </c:pt>
                <c:pt idx="17">
                  <c:v>6.6886601990029106</c:v>
                </c:pt>
                <c:pt idx="18">
                  <c:v>10.032990298504364</c:v>
                </c:pt>
                <c:pt idx="19">
                  <c:v>13.377320398005821</c:v>
                </c:pt>
                <c:pt idx="20">
                  <c:v>16.721650497507277</c:v>
                </c:pt>
                <c:pt idx="21">
                  <c:v>13.377320398005821</c:v>
                </c:pt>
                <c:pt idx="22">
                  <c:v>26.754640796011643</c:v>
                </c:pt>
                <c:pt idx="23">
                  <c:v>40.131961194017457</c:v>
                </c:pt>
                <c:pt idx="24">
                  <c:v>53.509281592023285</c:v>
                </c:pt>
                <c:pt idx="25">
                  <c:v>0</c:v>
                </c:pt>
                <c:pt idx="26">
                  <c:v>4.180412624376819E-2</c:v>
                </c:pt>
                <c:pt idx="27">
                  <c:v>8.360825248753638E-2</c:v>
                </c:pt>
                <c:pt idx="28">
                  <c:v>0.12541237873130456</c:v>
                </c:pt>
                <c:pt idx="29">
                  <c:v>0.16721650497507276</c:v>
                </c:pt>
                <c:pt idx="30">
                  <c:v>0.20902063121884093</c:v>
                </c:pt>
                <c:pt idx="31">
                  <c:v>0.16721650497507276</c:v>
                </c:pt>
                <c:pt idx="32">
                  <c:v>0.33443300995014552</c:v>
                </c:pt>
                <c:pt idx="33">
                  <c:v>0.50164951492521825</c:v>
                </c:pt>
                <c:pt idx="34">
                  <c:v>0.66886601990029104</c:v>
                </c:pt>
                <c:pt idx="35">
                  <c:v>0.83608252487536372</c:v>
                </c:pt>
                <c:pt idx="36">
                  <c:v>1.0032990298504365</c:v>
                </c:pt>
                <c:pt idx="37">
                  <c:v>1.1705155348255092</c:v>
                </c:pt>
                <c:pt idx="38">
                  <c:v>0.37623713619391358</c:v>
                </c:pt>
                <c:pt idx="39">
                  <c:v>0.75247427238782716</c:v>
                </c:pt>
                <c:pt idx="40">
                  <c:v>1.1287114085817409</c:v>
                </c:pt>
                <c:pt idx="41">
                  <c:v>1.5049485447756543</c:v>
                </c:pt>
                <c:pt idx="42">
                  <c:v>1.8811856809695686</c:v>
                </c:pt>
                <c:pt idx="43">
                  <c:v>2.2574228171634818</c:v>
                </c:pt>
                <c:pt idx="44">
                  <c:v>0.66886601990029104</c:v>
                </c:pt>
                <c:pt idx="45">
                  <c:v>1.3377320398005821</c:v>
                </c:pt>
                <c:pt idx="46">
                  <c:v>2.006598059700873</c:v>
                </c:pt>
                <c:pt idx="47">
                  <c:v>2.6754640796011642</c:v>
                </c:pt>
                <c:pt idx="48">
                  <c:v>3.3443300995014549</c:v>
                </c:pt>
                <c:pt idx="49">
                  <c:v>2.6754640796011642</c:v>
                </c:pt>
                <c:pt idx="50">
                  <c:v>5.3509281592023283</c:v>
                </c:pt>
                <c:pt idx="51">
                  <c:v>8.0263922388034921</c:v>
                </c:pt>
                <c:pt idx="52">
                  <c:v>10.701856318404657</c:v>
                </c:pt>
              </c:numCache>
            </c:numRef>
          </c:xVal>
          <c:yVal>
            <c:numRef>
              <c:f>Sheet1!$S$163:$S$215</c:f>
              <c:numCache>
                <c:formatCode>0.0</c:formatCode>
                <c:ptCount val="53"/>
                <c:pt idx="0">
                  <c:v>14.5</c:v>
                </c:pt>
                <c:pt idx="1">
                  <c:v>15</c:v>
                </c:pt>
                <c:pt idx="2">
                  <c:v>14</c:v>
                </c:pt>
                <c:pt idx="3">
                  <c:v>14</c:v>
                </c:pt>
                <c:pt idx="4">
                  <c:v>13.5</c:v>
                </c:pt>
                <c:pt idx="5">
                  <c:v>13</c:v>
                </c:pt>
                <c:pt idx="6">
                  <c:v>35</c:v>
                </c:pt>
                <c:pt idx="7">
                  <c:v>79.333333333333329</c:v>
                </c:pt>
                <c:pt idx="8">
                  <c:v>82.333333333333329</c:v>
                </c:pt>
                <c:pt idx="9">
                  <c:v>71.333333333333329</c:v>
                </c:pt>
                <c:pt idx="10">
                  <c:v>51.333333333333336</c:v>
                </c:pt>
                <c:pt idx="11">
                  <c:v>53</c:v>
                </c:pt>
                <c:pt idx="12">
                  <c:v>88.666666666666671</c:v>
                </c:pt>
                <c:pt idx="13">
                  <c:v>65.333333333333329</c:v>
                </c:pt>
                <c:pt idx="14">
                  <c:v>45.333333333333336</c:v>
                </c:pt>
                <c:pt idx="15">
                  <c:v>40.666666666666664</c:v>
                </c:pt>
                <c:pt idx="16">
                  <c:v>69</c:v>
                </c:pt>
                <c:pt idx="17">
                  <c:v>95.333333333333329</c:v>
                </c:pt>
                <c:pt idx="18">
                  <c:v>34</c:v>
                </c:pt>
                <c:pt idx="19">
                  <c:v>15.333333333333334</c:v>
                </c:pt>
                <c:pt idx="20">
                  <c:v>13.666666666666666</c:v>
                </c:pt>
                <c:pt idx="21">
                  <c:v>14</c:v>
                </c:pt>
                <c:pt idx="22">
                  <c:v>9</c:v>
                </c:pt>
                <c:pt idx="23">
                  <c:v>6.5</c:v>
                </c:pt>
                <c:pt idx="24">
                  <c:v>6.5</c:v>
                </c:pt>
                <c:pt idx="25">
                  <c:v>13.333333333333334</c:v>
                </c:pt>
                <c:pt idx="26">
                  <c:v>15</c:v>
                </c:pt>
                <c:pt idx="27">
                  <c:v>16.666666666666668</c:v>
                </c:pt>
                <c:pt idx="28">
                  <c:v>17.333333333333332</c:v>
                </c:pt>
                <c:pt idx="29">
                  <c:v>15</c:v>
                </c:pt>
                <c:pt idx="30">
                  <c:v>13</c:v>
                </c:pt>
                <c:pt idx="31">
                  <c:v>21.333333333333332</c:v>
                </c:pt>
                <c:pt idx="32">
                  <c:v>40</c:v>
                </c:pt>
                <c:pt idx="33">
                  <c:v>39</c:v>
                </c:pt>
                <c:pt idx="34">
                  <c:v>69.666666666666671</c:v>
                </c:pt>
                <c:pt idx="35">
                  <c:v>83.333333333333329</c:v>
                </c:pt>
                <c:pt idx="36">
                  <c:v>65.666666666666671</c:v>
                </c:pt>
                <c:pt idx="37">
                  <c:v>36</c:v>
                </c:pt>
                <c:pt idx="38">
                  <c:v>26</c:v>
                </c:pt>
                <c:pt idx="39">
                  <c:v>62.333333333333336</c:v>
                </c:pt>
                <c:pt idx="40">
                  <c:v>83.333333333333329</c:v>
                </c:pt>
                <c:pt idx="41">
                  <c:v>72.666666666666671</c:v>
                </c:pt>
                <c:pt idx="42">
                  <c:v>74.666666666666671</c:v>
                </c:pt>
                <c:pt idx="43">
                  <c:v>75</c:v>
                </c:pt>
                <c:pt idx="44">
                  <c:v>29</c:v>
                </c:pt>
                <c:pt idx="45">
                  <c:v>75</c:v>
                </c:pt>
                <c:pt idx="46">
                  <c:v>80.333333333333329</c:v>
                </c:pt>
                <c:pt idx="47">
                  <c:v>65.666666666666671</c:v>
                </c:pt>
                <c:pt idx="48">
                  <c:v>55.666666666666664</c:v>
                </c:pt>
                <c:pt idx="49">
                  <c:v>28</c:v>
                </c:pt>
                <c:pt idx="50">
                  <c:v>29</c:v>
                </c:pt>
                <c:pt idx="51">
                  <c:v>23</c:v>
                </c:pt>
                <c:pt idx="52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9B-5C42-A915-1C68A62EC839}"/>
            </c:ext>
          </c:extLst>
        </c:ser>
        <c:ser>
          <c:idx val="2"/>
          <c:order val="2"/>
          <c:tx>
            <c:v>R3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Sheet1!$M$216:$M$269</c:f>
              <c:numCache>
                <c:formatCode>0</c:formatCode>
                <c:ptCount val="54"/>
                <c:pt idx="0">
                  <c:v>0</c:v>
                </c:pt>
                <c:pt idx="1">
                  <c:v>0.17391567772831845</c:v>
                </c:pt>
                <c:pt idx="2">
                  <c:v>0.3478313554566369</c:v>
                </c:pt>
                <c:pt idx="3">
                  <c:v>0.52174703318495541</c:v>
                </c:pt>
                <c:pt idx="4">
                  <c:v>0.69566271091327381</c:v>
                </c:pt>
                <c:pt idx="5">
                  <c:v>0.8695783886415922</c:v>
                </c:pt>
                <c:pt idx="6">
                  <c:v>0.69566271091327381</c:v>
                </c:pt>
                <c:pt idx="7">
                  <c:v>1.3913254218265476</c:v>
                </c:pt>
                <c:pt idx="8">
                  <c:v>2.0869881327398216</c:v>
                </c:pt>
                <c:pt idx="9">
                  <c:v>2.7826508436530952</c:v>
                </c:pt>
                <c:pt idx="10">
                  <c:v>3.4783135545663688</c:v>
                </c:pt>
                <c:pt idx="11">
                  <c:v>4.1739762654796433</c:v>
                </c:pt>
                <c:pt idx="12">
                  <c:v>1.5652410995548662</c:v>
                </c:pt>
                <c:pt idx="13">
                  <c:v>3.1304821991097325</c:v>
                </c:pt>
                <c:pt idx="14">
                  <c:v>4.695723298664598</c:v>
                </c:pt>
                <c:pt idx="15">
                  <c:v>6.2609643982194649</c:v>
                </c:pt>
                <c:pt idx="16">
                  <c:v>7.8262054977743318</c:v>
                </c:pt>
                <c:pt idx="17">
                  <c:v>2.7826508436530952</c:v>
                </c:pt>
                <c:pt idx="18">
                  <c:v>5.5653016873061905</c:v>
                </c:pt>
                <c:pt idx="19">
                  <c:v>8.3479525309592866</c:v>
                </c:pt>
                <c:pt idx="20">
                  <c:v>11.130603374612381</c:v>
                </c:pt>
                <c:pt idx="21">
                  <c:v>13.913254218265475</c:v>
                </c:pt>
                <c:pt idx="22">
                  <c:v>11.130603374612381</c:v>
                </c:pt>
                <c:pt idx="23">
                  <c:v>22.261206749224762</c:v>
                </c:pt>
                <c:pt idx="24">
                  <c:v>33.391810123837146</c:v>
                </c:pt>
                <c:pt idx="25">
                  <c:v>44.522413498449524</c:v>
                </c:pt>
                <c:pt idx="26">
                  <c:v>0</c:v>
                </c:pt>
                <c:pt idx="27">
                  <c:v>3.4783135545663695E-2</c:v>
                </c:pt>
                <c:pt idx="28">
                  <c:v>6.9566271091327389E-2</c:v>
                </c:pt>
                <c:pt idx="29">
                  <c:v>0.10434940663699108</c:v>
                </c:pt>
                <c:pt idx="30">
                  <c:v>0.13913254218265478</c:v>
                </c:pt>
                <c:pt idx="31">
                  <c:v>0.17391567772831845</c:v>
                </c:pt>
                <c:pt idx="32">
                  <c:v>0.13913254218265478</c:v>
                </c:pt>
                <c:pt idx="33">
                  <c:v>0.27826508436530956</c:v>
                </c:pt>
                <c:pt idx="34">
                  <c:v>0.41739762654796431</c:v>
                </c:pt>
                <c:pt idx="35">
                  <c:v>0.55653016873061911</c:v>
                </c:pt>
                <c:pt idx="36">
                  <c:v>0.69566271091327381</c:v>
                </c:pt>
                <c:pt idx="37">
                  <c:v>0.83479525309592861</c:v>
                </c:pt>
                <c:pt idx="38">
                  <c:v>0.97392779527858342</c:v>
                </c:pt>
                <c:pt idx="39">
                  <c:v>0.31304821991097326</c:v>
                </c:pt>
                <c:pt idx="40">
                  <c:v>0.62609643982194652</c:v>
                </c:pt>
                <c:pt idx="41">
                  <c:v>0.93914465973291972</c:v>
                </c:pt>
                <c:pt idx="42">
                  <c:v>1.252192879643893</c:v>
                </c:pt>
                <c:pt idx="43">
                  <c:v>1.5652410995548665</c:v>
                </c:pt>
                <c:pt idx="44">
                  <c:v>1.8782893194658394</c:v>
                </c:pt>
                <c:pt idx="45">
                  <c:v>0.55653016873061911</c:v>
                </c:pt>
                <c:pt idx="46">
                  <c:v>1.1130603374612382</c:v>
                </c:pt>
                <c:pt idx="47">
                  <c:v>1.6695905061918572</c:v>
                </c:pt>
                <c:pt idx="48">
                  <c:v>2.2261206749224765</c:v>
                </c:pt>
                <c:pt idx="49">
                  <c:v>2.7826508436530952</c:v>
                </c:pt>
                <c:pt idx="50">
                  <c:v>0.86957838864159231</c:v>
                </c:pt>
                <c:pt idx="51">
                  <c:v>1.7391567772831846</c:v>
                </c:pt>
                <c:pt idx="52">
                  <c:v>2.6087351659247768</c:v>
                </c:pt>
                <c:pt idx="53">
                  <c:v>3.4783135545663693</c:v>
                </c:pt>
              </c:numCache>
            </c:numRef>
          </c:xVal>
          <c:yVal>
            <c:numRef>
              <c:f>Sheet1!$S$216:$S$269</c:f>
              <c:numCache>
                <c:formatCode>0.0</c:formatCode>
                <c:ptCount val="54"/>
                <c:pt idx="0">
                  <c:v>13.333333333333334</c:v>
                </c:pt>
                <c:pt idx="1">
                  <c:v>14.666666666666666</c:v>
                </c:pt>
                <c:pt idx="2">
                  <c:v>12.333333333333334</c:v>
                </c:pt>
                <c:pt idx="3">
                  <c:v>12</c:v>
                </c:pt>
                <c:pt idx="4">
                  <c:v>11.333333333333334</c:v>
                </c:pt>
                <c:pt idx="5">
                  <c:v>12</c:v>
                </c:pt>
                <c:pt idx="6">
                  <c:v>29.333333333333332</c:v>
                </c:pt>
                <c:pt idx="7">
                  <c:v>63</c:v>
                </c:pt>
                <c:pt idx="8">
                  <c:v>68</c:v>
                </c:pt>
                <c:pt idx="9">
                  <c:v>55</c:v>
                </c:pt>
                <c:pt idx="10">
                  <c:v>57.333333333333336</c:v>
                </c:pt>
                <c:pt idx="11">
                  <c:v>40.666666666666664</c:v>
                </c:pt>
                <c:pt idx="12">
                  <c:v>49</c:v>
                </c:pt>
                <c:pt idx="13">
                  <c:v>75</c:v>
                </c:pt>
                <c:pt idx="14">
                  <c:v>56</c:v>
                </c:pt>
                <c:pt idx="15">
                  <c:v>38.666666666666664</c:v>
                </c:pt>
                <c:pt idx="16">
                  <c:v>32.333333333333336</c:v>
                </c:pt>
                <c:pt idx="17">
                  <c:v>60</c:v>
                </c:pt>
                <c:pt idx="18">
                  <c:v>87.333333333333329</c:v>
                </c:pt>
                <c:pt idx="19">
                  <c:v>52.666666666666664</c:v>
                </c:pt>
                <c:pt idx="20">
                  <c:v>28.333333333333332</c:v>
                </c:pt>
                <c:pt idx="21">
                  <c:v>22.333333333333332</c:v>
                </c:pt>
                <c:pt idx="22">
                  <c:v>26.666666666666668</c:v>
                </c:pt>
                <c:pt idx="23">
                  <c:v>13.666666666666666</c:v>
                </c:pt>
                <c:pt idx="24">
                  <c:v>8.3333333333333339</c:v>
                </c:pt>
                <c:pt idx="25">
                  <c:v>7.333333333333333</c:v>
                </c:pt>
                <c:pt idx="26">
                  <c:v>22.333333333333332</c:v>
                </c:pt>
                <c:pt idx="27">
                  <c:v>27.333333333333332</c:v>
                </c:pt>
                <c:pt idx="28">
                  <c:v>22.333333333333332</c:v>
                </c:pt>
                <c:pt idx="29">
                  <c:v>25</c:v>
                </c:pt>
                <c:pt idx="30">
                  <c:v>22</c:v>
                </c:pt>
                <c:pt idx="31">
                  <c:v>18.666666666666668</c:v>
                </c:pt>
                <c:pt idx="32">
                  <c:v>18</c:v>
                </c:pt>
                <c:pt idx="33">
                  <c:v>33.333333333333336</c:v>
                </c:pt>
                <c:pt idx="34">
                  <c:v>40.666666666666664</c:v>
                </c:pt>
                <c:pt idx="35">
                  <c:v>47.333333333333336</c:v>
                </c:pt>
                <c:pt idx="36">
                  <c:v>56.333333333333336</c:v>
                </c:pt>
                <c:pt idx="37">
                  <c:v>46.333333333333336</c:v>
                </c:pt>
                <c:pt idx="38">
                  <c:v>32.333333333333336</c:v>
                </c:pt>
                <c:pt idx="39">
                  <c:v>21</c:v>
                </c:pt>
                <c:pt idx="40">
                  <c:v>50</c:v>
                </c:pt>
                <c:pt idx="41">
                  <c:v>71.333333333333329</c:v>
                </c:pt>
                <c:pt idx="42">
                  <c:v>77</c:v>
                </c:pt>
                <c:pt idx="43">
                  <c:v>79.333333333333329</c:v>
                </c:pt>
                <c:pt idx="44">
                  <c:v>76</c:v>
                </c:pt>
                <c:pt idx="45">
                  <c:v>23.333333333333332</c:v>
                </c:pt>
                <c:pt idx="46">
                  <c:v>56.666666666666664</c:v>
                </c:pt>
                <c:pt idx="47">
                  <c:v>74</c:v>
                </c:pt>
                <c:pt idx="48">
                  <c:v>71.666666666666671</c:v>
                </c:pt>
                <c:pt idx="49">
                  <c:v>55</c:v>
                </c:pt>
                <c:pt idx="50">
                  <c:v>34.666666666666664</c:v>
                </c:pt>
                <c:pt idx="51">
                  <c:v>34.666666666666664</c:v>
                </c:pt>
                <c:pt idx="52">
                  <c:v>27.666666666666668</c:v>
                </c:pt>
                <c:pt idx="53">
                  <c:v>22.666666666666668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9B-5C42-A915-1C68A62EC839}"/>
            </c:ext>
          </c:extLst>
        </c:ser>
        <c:ser>
          <c:idx val="3"/>
          <c:order val="3"/>
          <c:tx>
            <c:v>R4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Sheet1!$M$270:$M$317</c:f>
              <c:numCache>
                <c:formatCode>0</c:formatCode>
                <c:ptCount val="48"/>
                <c:pt idx="0">
                  <c:v>0</c:v>
                </c:pt>
                <c:pt idx="1">
                  <c:v>0.28043060406314585</c:v>
                </c:pt>
                <c:pt idx="2">
                  <c:v>0.84129181218943727</c:v>
                </c:pt>
                <c:pt idx="3">
                  <c:v>1.4021530203157293</c:v>
                </c:pt>
                <c:pt idx="4">
                  <c:v>1.9630142284420207</c:v>
                </c:pt>
                <c:pt idx="5">
                  <c:v>1.1217224162525834</c:v>
                </c:pt>
                <c:pt idx="6">
                  <c:v>3.3651672487577491</c:v>
                </c:pt>
                <c:pt idx="7">
                  <c:v>5.6086120812629172</c:v>
                </c:pt>
                <c:pt idx="8">
                  <c:v>7.8520569137680827</c:v>
                </c:pt>
                <c:pt idx="9">
                  <c:v>4.4868896650103336</c:v>
                </c:pt>
                <c:pt idx="10">
                  <c:v>13.460668995030996</c:v>
                </c:pt>
                <c:pt idx="11">
                  <c:v>22.434448325051669</c:v>
                </c:pt>
                <c:pt idx="12">
                  <c:v>17.947558660041334</c:v>
                </c:pt>
                <c:pt idx="13">
                  <c:v>53.842675980123985</c:v>
                </c:pt>
                <c:pt idx="14">
                  <c:v>0</c:v>
                </c:pt>
                <c:pt idx="15">
                  <c:v>9.3476868021048626E-2</c:v>
                </c:pt>
                <c:pt idx="16">
                  <c:v>0.28043060406314579</c:v>
                </c:pt>
                <c:pt idx="17">
                  <c:v>0.46738434010524305</c:v>
                </c:pt>
                <c:pt idx="18">
                  <c:v>0.65433807614734019</c:v>
                </c:pt>
                <c:pt idx="19">
                  <c:v>0.3739074720841945</c:v>
                </c:pt>
                <c:pt idx="20">
                  <c:v>1.1217224162525832</c:v>
                </c:pt>
                <c:pt idx="21">
                  <c:v>1.8695373604209722</c:v>
                </c:pt>
                <c:pt idx="22">
                  <c:v>2.6173523045893607</c:v>
                </c:pt>
                <c:pt idx="23">
                  <c:v>1.495629888336778</c:v>
                </c:pt>
                <c:pt idx="24">
                  <c:v>4.4868896650103327</c:v>
                </c:pt>
                <c:pt idx="25">
                  <c:v>7.4781494416838887</c:v>
                </c:pt>
                <c:pt idx="26">
                  <c:v>5.9825195533471121</c:v>
                </c:pt>
                <c:pt idx="27">
                  <c:v>17.947558660041331</c:v>
                </c:pt>
                <c:pt idx="28">
                  <c:v>0</c:v>
                </c:pt>
                <c:pt idx="29">
                  <c:v>5.6086120812629175E-2</c:v>
                </c:pt>
                <c:pt idx="30">
                  <c:v>0.16825836243788747</c:v>
                </c:pt>
                <c:pt idx="31">
                  <c:v>0.28043060406314585</c:v>
                </c:pt>
                <c:pt idx="32">
                  <c:v>0.39260284568840409</c:v>
                </c:pt>
                <c:pt idx="33">
                  <c:v>0.2243444832505167</c:v>
                </c:pt>
                <c:pt idx="34">
                  <c:v>0.4486889665010334</c:v>
                </c:pt>
                <c:pt idx="35">
                  <c:v>0.67303344975154988</c:v>
                </c:pt>
                <c:pt idx="36">
                  <c:v>0.89737793300206681</c:v>
                </c:pt>
                <c:pt idx="37">
                  <c:v>1.1217224162525834</c:v>
                </c:pt>
                <c:pt idx="38">
                  <c:v>1.3460668995030998</c:v>
                </c:pt>
                <c:pt idx="39">
                  <c:v>1.5704113827536164</c:v>
                </c:pt>
                <c:pt idx="40">
                  <c:v>0.89737793300206681</c:v>
                </c:pt>
                <c:pt idx="41">
                  <c:v>1.7947558660041336</c:v>
                </c:pt>
                <c:pt idx="42">
                  <c:v>2.6921337990061995</c:v>
                </c:pt>
                <c:pt idx="43">
                  <c:v>3.5895117320082672</c:v>
                </c:pt>
                <c:pt idx="44">
                  <c:v>4.4868896650103336</c:v>
                </c:pt>
                <c:pt idx="45">
                  <c:v>5.3842675980123991</c:v>
                </c:pt>
                <c:pt idx="46">
                  <c:v>3.5895117320082672</c:v>
                </c:pt>
                <c:pt idx="47">
                  <c:v>10.768535196024798</c:v>
                </c:pt>
              </c:numCache>
            </c:numRef>
          </c:xVal>
          <c:yVal>
            <c:numRef>
              <c:f>Sheet1!$S$270:$S$317</c:f>
              <c:numCache>
                <c:formatCode>0.0</c:formatCode>
                <c:ptCount val="48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14</c:v>
                </c:pt>
                <c:pt idx="5">
                  <c:v>43.666666666666664</c:v>
                </c:pt>
                <c:pt idx="6">
                  <c:v>81.666666666666671</c:v>
                </c:pt>
                <c:pt idx="7">
                  <c:v>38.333333333333336</c:v>
                </c:pt>
                <c:pt idx="8">
                  <c:v>49</c:v>
                </c:pt>
                <c:pt idx="9">
                  <c:v>55</c:v>
                </c:pt>
                <c:pt idx="10">
                  <c:v>12</c:v>
                </c:pt>
                <c:pt idx="11">
                  <c:v>8</c:v>
                </c:pt>
                <c:pt idx="12">
                  <c:v>13</c:v>
                </c:pt>
                <c:pt idx="13">
                  <c:v>6</c:v>
                </c:pt>
                <c:pt idx="14">
                  <c:v>9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11</c:v>
                </c:pt>
                <c:pt idx="19">
                  <c:v>30</c:v>
                </c:pt>
                <c:pt idx="20">
                  <c:v>66</c:v>
                </c:pt>
                <c:pt idx="21">
                  <c:v>77</c:v>
                </c:pt>
                <c:pt idx="22">
                  <c:v>34</c:v>
                </c:pt>
                <c:pt idx="23">
                  <c:v>50</c:v>
                </c:pt>
                <c:pt idx="24">
                  <c:v>21</c:v>
                </c:pt>
                <c:pt idx="25">
                  <c:v>13</c:v>
                </c:pt>
                <c:pt idx="26">
                  <c:v>24</c:v>
                </c:pt>
                <c:pt idx="27">
                  <c:v>11</c:v>
                </c:pt>
                <c:pt idx="28">
                  <c:v>10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23.666666666666668</c:v>
                </c:pt>
                <c:pt idx="34">
                  <c:v>30.5</c:v>
                </c:pt>
                <c:pt idx="35">
                  <c:v>58.6</c:v>
                </c:pt>
                <c:pt idx="36">
                  <c:v>62</c:v>
                </c:pt>
                <c:pt idx="37">
                  <c:v>47.4</c:v>
                </c:pt>
                <c:pt idx="38">
                  <c:v>45.5</c:v>
                </c:pt>
                <c:pt idx="39">
                  <c:v>32</c:v>
                </c:pt>
                <c:pt idx="40">
                  <c:v>35.333333333333336</c:v>
                </c:pt>
                <c:pt idx="41">
                  <c:v>33</c:v>
                </c:pt>
                <c:pt idx="42">
                  <c:v>39.799999999999997</c:v>
                </c:pt>
                <c:pt idx="43">
                  <c:v>44.5</c:v>
                </c:pt>
                <c:pt idx="44">
                  <c:v>30</c:v>
                </c:pt>
                <c:pt idx="45">
                  <c:v>41</c:v>
                </c:pt>
                <c:pt idx="46">
                  <c:v>30</c:v>
                </c:pt>
                <c:pt idx="47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9B-5C42-A915-1C68A62EC839}"/>
            </c:ext>
          </c:extLst>
        </c:ser>
        <c:ser>
          <c:idx val="4"/>
          <c:order val="4"/>
          <c:tx>
            <c:v>R5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Sheet1!$M$318:$M$350</c:f>
              <c:numCache>
                <c:formatCode>0</c:formatCode>
                <c:ptCount val="33"/>
                <c:pt idx="0">
                  <c:v>0</c:v>
                </c:pt>
                <c:pt idx="1">
                  <c:v>0.28043060406314585</c:v>
                </c:pt>
                <c:pt idx="2">
                  <c:v>0.84129181218943727</c:v>
                </c:pt>
                <c:pt idx="3">
                  <c:v>1.4021530203157293</c:v>
                </c:pt>
                <c:pt idx="4">
                  <c:v>1.9630142284420207</c:v>
                </c:pt>
                <c:pt idx="5">
                  <c:v>1.1217224162525834</c:v>
                </c:pt>
                <c:pt idx="6">
                  <c:v>3.3651672487577491</c:v>
                </c:pt>
                <c:pt idx="7">
                  <c:v>5.6086120812629172</c:v>
                </c:pt>
                <c:pt idx="8">
                  <c:v>7.8520569137680827</c:v>
                </c:pt>
                <c:pt idx="9">
                  <c:v>4.4868896650103336</c:v>
                </c:pt>
                <c:pt idx="10">
                  <c:v>13.460668995030996</c:v>
                </c:pt>
                <c:pt idx="11">
                  <c:v>22.434448325051669</c:v>
                </c:pt>
                <c:pt idx="12">
                  <c:v>17.947558660041334</c:v>
                </c:pt>
                <c:pt idx="13">
                  <c:v>53.842675980123985</c:v>
                </c:pt>
                <c:pt idx="14">
                  <c:v>0</c:v>
                </c:pt>
                <c:pt idx="15">
                  <c:v>5.6086120812629175E-2</c:v>
                </c:pt>
                <c:pt idx="16">
                  <c:v>0.16825836243788747</c:v>
                </c:pt>
                <c:pt idx="17">
                  <c:v>0.28043060406314585</c:v>
                </c:pt>
                <c:pt idx="18">
                  <c:v>0.39260284568840409</c:v>
                </c:pt>
                <c:pt idx="19">
                  <c:v>0.2243444832505167</c:v>
                </c:pt>
                <c:pt idx="20">
                  <c:v>0.4486889665010334</c:v>
                </c:pt>
                <c:pt idx="21">
                  <c:v>0.67303344975154988</c:v>
                </c:pt>
                <c:pt idx="22">
                  <c:v>0.89737793300206681</c:v>
                </c:pt>
                <c:pt idx="23">
                  <c:v>1.1217224162525834</c:v>
                </c:pt>
                <c:pt idx="24">
                  <c:v>1.3460668995030998</c:v>
                </c:pt>
                <c:pt idx="25">
                  <c:v>1.5704113827536164</c:v>
                </c:pt>
                <c:pt idx="26">
                  <c:v>0.89737793300206681</c:v>
                </c:pt>
                <c:pt idx="27">
                  <c:v>1.7947558660041336</c:v>
                </c:pt>
                <c:pt idx="28">
                  <c:v>2.6921337990061995</c:v>
                </c:pt>
                <c:pt idx="29">
                  <c:v>3.5895117320082672</c:v>
                </c:pt>
                <c:pt idx="30">
                  <c:v>4.4868896650103336</c:v>
                </c:pt>
                <c:pt idx="31">
                  <c:v>3.5895117320082672</c:v>
                </c:pt>
                <c:pt idx="32">
                  <c:v>10.768535196024798</c:v>
                </c:pt>
              </c:numCache>
            </c:numRef>
          </c:xVal>
          <c:yVal>
            <c:numRef>
              <c:f>Sheet1!$S$318:$S$350</c:f>
              <c:numCache>
                <c:formatCode>0.0</c:formatCode>
                <c:ptCount val="33"/>
                <c:pt idx="0">
                  <c:v>10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34</c:v>
                </c:pt>
                <c:pt idx="6">
                  <c:v>93.5</c:v>
                </c:pt>
                <c:pt idx="7">
                  <c:v>57.5</c:v>
                </c:pt>
                <c:pt idx="8">
                  <c:v>43</c:v>
                </c:pt>
                <c:pt idx="9">
                  <c:v>52</c:v>
                </c:pt>
                <c:pt idx="10">
                  <c:v>23</c:v>
                </c:pt>
                <c:pt idx="11">
                  <c:v>13</c:v>
                </c:pt>
                <c:pt idx="12">
                  <c:v>13</c:v>
                </c:pt>
                <c:pt idx="13">
                  <c:v>8</c:v>
                </c:pt>
                <c:pt idx="14">
                  <c:v>10</c:v>
                </c:pt>
                <c:pt idx="15">
                  <c:v>11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24</c:v>
                </c:pt>
                <c:pt idx="20">
                  <c:v>41</c:v>
                </c:pt>
                <c:pt idx="21">
                  <c:v>65</c:v>
                </c:pt>
                <c:pt idx="22">
                  <c:v>69</c:v>
                </c:pt>
                <c:pt idx="23">
                  <c:v>65.2</c:v>
                </c:pt>
                <c:pt idx="24">
                  <c:v>61</c:v>
                </c:pt>
                <c:pt idx="25">
                  <c:v>44.666666666666664</c:v>
                </c:pt>
                <c:pt idx="26">
                  <c:v>40.333333333333336</c:v>
                </c:pt>
                <c:pt idx="27">
                  <c:v>50</c:v>
                </c:pt>
                <c:pt idx="28">
                  <c:v>44.6</c:v>
                </c:pt>
                <c:pt idx="29">
                  <c:v>28.5</c:v>
                </c:pt>
                <c:pt idx="30">
                  <c:v>32.4</c:v>
                </c:pt>
                <c:pt idx="31">
                  <c:v>33</c:v>
                </c:pt>
                <c:pt idx="32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9B-5C42-A915-1C68A62EC839}"/>
            </c:ext>
          </c:extLst>
        </c:ser>
        <c:ser>
          <c:idx val="5"/>
          <c:order val="5"/>
          <c:tx>
            <c:v>R6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Sheet1!$M$351:$M$403</c:f>
              <c:numCache>
                <c:formatCode>0</c:formatCode>
                <c:ptCount val="53"/>
                <c:pt idx="0">
                  <c:v>0</c:v>
                </c:pt>
                <c:pt idx="1">
                  <c:v>0.76323543135018479</c:v>
                </c:pt>
                <c:pt idx="2">
                  <c:v>1.5264708627003696</c:v>
                </c:pt>
                <c:pt idx="3">
                  <c:v>2.2897062940505535</c:v>
                </c:pt>
                <c:pt idx="4">
                  <c:v>3.0529417254007392</c:v>
                </c:pt>
                <c:pt idx="5">
                  <c:v>3.8161771567509239</c:v>
                </c:pt>
                <c:pt idx="6">
                  <c:v>3.0529417254007392</c:v>
                </c:pt>
                <c:pt idx="7">
                  <c:v>6.1058834508014783</c:v>
                </c:pt>
                <c:pt idx="8">
                  <c:v>9.1588251762022139</c:v>
                </c:pt>
                <c:pt idx="9">
                  <c:v>12.211766901602957</c:v>
                </c:pt>
                <c:pt idx="10">
                  <c:v>15.264708627003696</c:v>
                </c:pt>
                <c:pt idx="11">
                  <c:v>18.317650352404428</c:v>
                </c:pt>
                <c:pt idx="12">
                  <c:v>6.8691188821516604</c:v>
                </c:pt>
                <c:pt idx="13">
                  <c:v>13.738237764303321</c:v>
                </c:pt>
                <c:pt idx="14">
                  <c:v>20.607356646454985</c:v>
                </c:pt>
                <c:pt idx="15">
                  <c:v>27.476475528606642</c:v>
                </c:pt>
                <c:pt idx="16">
                  <c:v>34.345594410758309</c:v>
                </c:pt>
                <c:pt idx="17">
                  <c:v>12.211766901602957</c:v>
                </c:pt>
                <c:pt idx="18">
                  <c:v>24.423533803205913</c:v>
                </c:pt>
                <c:pt idx="19">
                  <c:v>36.635300704808856</c:v>
                </c:pt>
                <c:pt idx="20">
                  <c:v>48.847067606411827</c:v>
                </c:pt>
                <c:pt idx="21">
                  <c:v>61.058834508014783</c:v>
                </c:pt>
                <c:pt idx="22">
                  <c:v>48.847067606411827</c:v>
                </c:pt>
                <c:pt idx="23">
                  <c:v>97.694135212823653</c:v>
                </c:pt>
                <c:pt idx="24">
                  <c:v>146.54120281923542</c:v>
                </c:pt>
                <c:pt idx="25">
                  <c:v>195.38827042564731</c:v>
                </c:pt>
                <c:pt idx="26">
                  <c:v>0</c:v>
                </c:pt>
                <c:pt idx="27">
                  <c:v>0.1543622220708239</c:v>
                </c:pt>
                <c:pt idx="28">
                  <c:v>0.30872444414164779</c:v>
                </c:pt>
                <c:pt idx="29">
                  <c:v>0.46308666621247146</c:v>
                </c:pt>
                <c:pt idx="30">
                  <c:v>0.61744888828329558</c:v>
                </c:pt>
                <c:pt idx="31">
                  <c:v>0.77181111035411942</c:v>
                </c:pt>
                <c:pt idx="32">
                  <c:v>0.61744888828329558</c:v>
                </c:pt>
                <c:pt idx="33">
                  <c:v>1.2348977765665912</c:v>
                </c:pt>
                <c:pt idx="34">
                  <c:v>1.8523466648498859</c:v>
                </c:pt>
                <c:pt idx="35">
                  <c:v>2.4697955531331823</c:v>
                </c:pt>
                <c:pt idx="36">
                  <c:v>3.0872444414164777</c:v>
                </c:pt>
                <c:pt idx="37">
                  <c:v>3.7046933296997717</c:v>
                </c:pt>
                <c:pt idx="38">
                  <c:v>1.3892599986374146</c:v>
                </c:pt>
                <c:pt idx="39">
                  <c:v>2.7785199972748291</c:v>
                </c:pt>
                <c:pt idx="40">
                  <c:v>4.1677799959122437</c:v>
                </c:pt>
                <c:pt idx="41">
                  <c:v>5.5570399945496582</c:v>
                </c:pt>
                <c:pt idx="42">
                  <c:v>6.9462999931870746</c:v>
                </c:pt>
                <c:pt idx="43">
                  <c:v>8.3355599918244874</c:v>
                </c:pt>
                <c:pt idx="44">
                  <c:v>2.4697955531331823</c:v>
                </c:pt>
                <c:pt idx="45">
                  <c:v>4.9395911062663647</c:v>
                </c:pt>
                <c:pt idx="46">
                  <c:v>7.4093866593995434</c:v>
                </c:pt>
                <c:pt idx="47">
                  <c:v>9.8791822125327293</c:v>
                </c:pt>
                <c:pt idx="48">
                  <c:v>12.348977765665911</c:v>
                </c:pt>
                <c:pt idx="49">
                  <c:v>9.8791822125327293</c:v>
                </c:pt>
                <c:pt idx="50">
                  <c:v>19.758364425065459</c:v>
                </c:pt>
                <c:pt idx="51">
                  <c:v>29.637546637598174</c:v>
                </c:pt>
                <c:pt idx="52">
                  <c:v>39.516728850130917</c:v>
                </c:pt>
              </c:numCache>
            </c:numRef>
          </c:xVal>
          <c:yVal>
            <c:numRef>
              <c:f>Sheet1!$S$351:$S$403</c:f>
              <c:numCache>
                <c:formatCode>0.0</c:formatCode>
                <c:ptCount val="53"/>
                <c:pt idx="0">
                  <c:v>12.333333333333334</c:v>
                </c:pt>
                <c:pt idx="1">
                  <c:v>10.5</c:v>
                </c:pt>
                <c:pt idx="2">
                  <c:v>10.5</c:v>
                </c:pt>
                <c:pt idx="3">
                  <c:v>10.5</c:v>
                </c:pt>
                <c:pt idx="4">
                  <c:v>10</c:v>
                </c:pt>
                <c:pt idx="5">
                  <c:v>9.5</c:v>
                </c:pt>
                <c:pt idx="6">
                  <c:v>16.333333333333332</c:v>
                </c:pt>
                <c:pt idx="7">
                  <c:v>17</c:v>
                </c:pt>
                <c:pt idx="8">
                  <c:v>22</c:v>
                </c:pt>
                <c:pt idx="9">
                  <c:v>26.333333333333332</c:v>
                </c:pt>
                <c:pt idx="10">
                  <c:v>27.333333333333332</c:v>
                </c:pt>
                <c:pt idx="11">
                  <c:v>19.666666666666668</c:v>
                </c:pt>
                <c:pt idx="12">
                  <c:v>30</c:v>
                </c:pt>
                <c:pt idx="13">
                  <c:v>37</c:v>
                </c:pt>
                <c:pt idx="14">
                  <c:v>41.5</c:v>
                </c:pt>
                <c:pt idx="15">
                  <c:v>26.666666666666668</c:v>
                </c:pt>
                <c:pt idx="16">
                  <c:v>27</c:v>
                </c:pt>
                <c:pt idx="17">
                  <c:v>36.666666666666664</c:v>
                </c:pt>
                <c:pt idx="18">
                  <c:v>43</c:v>
                </c:pt>
                <c:pt idx="19">
                  <c:v>40</c:v>
                </c:pt>
                <c:pt idx="20">
                  <c:v>23</c:v>
                </c:pt>
                <c:pt idx="21">
                  <c:v>21</c:v>
                </c:pt>
                <c:pt idx="22">
                  <c:v>52</c:v>
                </c:pt>
                <c:pt idx="23">
                  <c:v>25.5</c:v>
                </c:pt>
                <c:pt idx="24">
                  <c:v>11</c:v>
                </c:pt>
                <c:pt idx="25">
                  <c:v>9.5</c:v>
                </c:pt>
                <c:pt idx="26">
                  <c:v>16</c:v>
                </c:pt>
                <c:pt idx="27">
                  <c:v>18</c:v>
                </c:pt>
                <c:pt idx="28">
                  <c:v>22</c:v>
                </c:pt>
                <c:pt idx="29">
                  <c:v>26</c:v>
                </c:pt>
                <c:pt idx="30">
                  <c:v>23.5</c:v>
                </c:pt>
                <c:pt idx="31">
                  <c:v>13</c:v>
                </c:pt>
                <c:pt idx="32">
                  <c:v>26</c:v>
                </c:pt>
                <c:pt idx="33">
                  <c:v>35.666666666666664</c:v>
                </c:pt>
                <c:pt idx="34">
                  <c:v>40</c:v>
                </c:pt>
                <c:pt idx="35">
                  <c:v>45.666666666666664</c:v>
                </c:pt>
                <c:pt idx="36">
                  <c:v>33.333333333333336</c:v>
                </c:pt>
                <c:pt idx="37">
                  <c:v>22.333333333333332</c:v>
                </c:pt>
                <c:pt idx="38">
                  <c:v>27</c:v>
                </c:pt>
                <c:pt idx="39">
                  <c:v>44.666666666666664</c:v>
                </c:pt>
                <c:pt idx="40">
                  <c:v>36.666666666666664</c:v>
                </c:pt>
                <c:pt idx="41">
                  <c:v>32.333333333333336</c:v>
                </c:pt>
                <c:pt idx="42">
                  <c:v>31.333333333333332</c:v>
                </c:pt>
                <c:pt idx="43">
                  <c:v>25.666666666666668</c:v>
                </c:pt>
                <c:pt idx="44">
                  <c:v>35</c:v>
                </c:pt>
                <c:pt idx="45">
                  <c:v>43.666666666666664</c:v>
                </c:pt>
                <c:pt idx="46">
                  <c:v>43</c:v>
                </c:pt>
                <c:pt idx="47">
                  <c:v>40.333333333333336</c:v>
                </c:pt>
                <c:pt idx="48">
                  <c:v>33.333333333333336</c:v>
                </c:pt>
                <c:pt idx="49">
                  <c:v>27</c:v>
                </c:pt>
                <c:pt idx="50">
                  <c:v>41</c:v>
                </c:pt>
                <c:pt idx="51">
                  <c:v>36.5</c:v>
                </c:pt>
                <c:pt idx="52">
                  <c:v>36.5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9B-5C42-A915-1C68A62EC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540440"/>
        <c:axId val="710183512"/>
      </c:scatterChart>
      <c:valAx>
        <c:axId val="223540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De</a:t>
                </a:r>
                <a:r>
                  <a:rPr lang="en-GB" baseline="-25000"/>
                  <a:t>o</a:t>
                </a:r>
                <a:r>
                  <a:rPr lang="en-GB"/>
                  <a:t>(x</a:t>
                </a:r>
                <a:r>
                  <a:rPr lang="en-GB" baseline="-25000"/>
                  <a:t>o</a:t>
                </a:r>
                <a:r>
                  <a:rPr lang="en-GB"/>
                  <a:t>/R</a:t>
                </a:r>
                <a:r>
                  <a:rPr lang="en-GB" baseline="-25000"/>
                  <a:t>c</a:t>
                </a:r>
                <a:r>
                  <a:rPr lang="en-GB"/>
                  <a:t>)/Re</a:t>
                </a:r>
                <a:r>
                  <a:rPr lang="en-GB" baseline="-25000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0183512"/>
        <c:crosses val="autoZero"/>
        <c:crossBetween val="midCat"/>
      </c:valAx>
      <c:valAx>
        <c:axId val="710183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35404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024288630587834"/>
          <c:y val="7.5808544765237684E-2"/>
          <c:w val="7.8828063158771819E-2"/>
          <c:h val="0.5016141732283464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Tube Pitch</a:t>
            </a:r>
          </a:p>
        </c:rich>
      </c:tx>
      <c:layout>
        <c:manualLayout>
          <c:xMode val="edge"/>
          <c:yMode val="edge"/>
          <c:x val="0.42216931216931219"/>
          <c:y val="6.944444444444444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68691413573303"/>
          <c:y val="5.1342592592592592E-2"/>
          <c:w val="0.71097446152564248"/>
          <c:h val="0.73172098279381748"/>
        </c:manualLayout>
      </c:layout>
      <c:scatterChart>
        <c:scatterStyle val="lineMarker"/>
        <c:varyColors val="0"/>
        <c:ser>
          <c:idx val="0"/>
          <c:order val="0"/>
          <c:tx>
            <c:v>R1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Sheet1!$M$3:$M$162</c:f>
              <c:numCache>
                <c:formatCode>0</c:formatCode>
                <c:ptCount val="160"/>
                <c:pt idx="0">
                  <c:v>0</c:v>
                </c:pt>
                <c:pt idx="1">
                  <c:v>0.28043060406314585</c:v>
                </c:pt>
                <c:pt idx="2">
                  <c:v>0.5608612081262917</c:v>
                </c:pt>
                <c:pt idx="3">
                  <c:v>0.84129181218943727</c:v>
                </c:pt>
                <c:pt idx="4">
                  <c:v>1.1217224162525834</c:v>
                </c:pt>
                <c:pt idx="5">
                  <c:v>1.4021530203157293</c:v>
                </c:pt>
                <c:pt idx="6">
                  <c:v>1.6825836243788745</c:v>
                </c:pt>
                <c:pt idx="7">
                  <c:v>1.9630142284420207</c:v>
                </c:pt>
                <c:pt idx="8">
                  <c:v>2.2434448325051668</c:v>
                </c:pt>
                <c:pt idx="9">
                  <c:v>1.1217224162525834</c:v>
                </c:pt>
                <c:pt idx="10">
                  <c:v>2.2434448325051668</c:v>
                </c:pt>
                <c:pt idx="11">
                  <c:v>3.3651672487577491</c:v>
                </c:pt>
                <c:pt idx="12">
                  <c:v>4.4868896650103336</c:v>
                </c:pt>
                <c:pt idx="13">
                  <c:v>5.6086120812629172</c:v>
                </c:pt>
                <c:pt idx="14">
                  <c:v>6.7303344975154982</c:v>
                </c:pt>
                <c:pt idx="15">
                  <c:v>7.8520569137680827</c:v>
                </c:pt>
                <c:pt idx="16">
                  <c:v>2.5238754365683116</c:v>
                </c:pt>
                <c:pt idx="17">
                  <c:v>5.0477508731366232</c:v>
                </c:pt>
                <c:pt idx="18">
                  <c:v>7.5716263097049366</c:v>
                </c:pt>
                <c:pt idx="19">
                  <c:v>10.095501746273246</c:v>
                </c:pt>
                <c:pt idx="20">
                  <c:v>12.619377182841564</c:v>
                </c:pt>
                <c:pt idx="21">
                  <c:v>15.143252619409873</c:v>
                </c:pt>
                <c:pt idx="22">
                  <c:v>4.4868896650103336</c:v>
                </c:pt>
                <c:pt idx="23">
                  <c:v>8.9737793300206672</c:v>
                </c:pt>
                <c:pt idx="24">
                  <c:v>13.460668995030996</c:v>
                </c:pt>
                <c:pt idx="25">
                  <c:v>17.947558660041334</c:v>
                </c:pt>
                <c:pt idx="26">
                  <c:v>22.434448325051669</c:v>
                </c:pt>
                <c:pt idx="27">
                  <c:v>26.921337990061993</c:v>
                </c:pt>
                <c:pt idx="28">
                  <c:v>17.947558660041334</c:v>
                </c:pt>
                <c:pt idx="29">
                  <c:v>35.895117320082669</c:v>
                </c:pt>
                <c:pt idx="30">
                  <c:v>53.842675980123985</c:v>
                </c:pt>
                <c:pt idx="31">
                  <c:v>71.790234640165338</c:v>
                </c:pt>
                <c:pt idx="32">
                  <c:v>0</c:v>
                </c:pt>
                <c:pt idx="33">
                  <c:v>0.14021530203157292</c:v>
                </c:pt>
                <c:pt idx="34">
                  <c:v>0.28043060406314585</c:v>
                </c:pt>
                <c:pt idx="35">
                  <c:v>0.42064590609471864</c:v>
                </c:pt>
                <c:pt idx="36">
                  <c:v>0.5608612081262917</c:v>
                </c:pt>
                <c:pt idx="37">
                  <c:v>0.70107651015786465</c:v>
                </c:pt>
                <c:pt idx="38">
                  <c:v>0.84129181218943727</c:v>
                </c:pt>
                <c:pt idx="39">
                  <c:v>0.98150711422101033</c:v>
                </c:pt>
                <c:pt idx="40">
                  <c:v>1.1217224162525834</c:v>
                </c:pt>
                <c:pt idx="41">
                  <c:v>0.5608612081262917</c:v>
                </c:pt>
                <c:pt idx="42">
                  <c:v>1.1217224162525834</c:v>
                </c:pt>
                <c:pt idx="43">
                  <c:v>1.6825836243788745</c:v>
                </c:pt>
                <c:pt idx="44">
                  <c:v>2.2434448325051668</c:v>
                </c:pt>
                <c:pt idx="45">
                  <c:v>2.8043060406314586</c:v>
                </c:pt>
                <c:pt idx="46">
                  <c:v>3.3651672487577491</c:v>
                </c:pt>
                <c:pt idx="47">
                  <c:v>3.9260284568840413</c:v>
                </c:pt>
                <c:pt idx="48">
                  <c:v>1.2619377182841558</c:v>
                </c:pt>
                <c:pt idx="49">
                  <c:v>2.5238754365683116</c:v>
                </c:pt>
                <c:pt idx="50">
                  <c:v>3.7858131548524683</c:v>
                </c:pt>
                <c:pt idx="51">
                  <c:v>5.0477508731366232</c:v>
                </c:pt>
                <c:pt idx="52">
                  <c:v>6.3096885914207821</c:v>
                </c:pt>
                <c:pt idx="53">
                  <c:v>7.5716263097049366</c:v>
                </c:pt>
                <c:pt idx="54">
                  <c:v>2.2434448325051668</c:v>
                </c:pt>
                <c:pt idx="55">
                  <c:v>4.4868896650103336</c:v>
                </c:pt>
                <c:pt idx="56">
                  <c:v>6.7303344975154982</c:v>
                </c:pt>
                <c:pt idx="57">
                  <c:v>8.9737793300206672</c:v>
                </c:pt>
                <c:pt idx="58">
                  <c:v>11.217224162525834</c:v>
                </c:pt>
                <c:pt idx="59">
                  <c:v>13.460668995030996</c:v>
                </c:pt>
                <c:pt idx="60">
                  <c:v>8.9737793300206672</c:v>
                </c:pt>
                <c:pt idx="61">
                  <c:v>17.947558660041334</c:v>
                </c:pt>
                <c:pt idx="62">
                  <c:v>26.921337990061993</c:v>
                </c:pt>
                <c:pt idx="63">
                  <c:v>35.895117320082669</c:v>
                </c:pt>
                <c:pt idx="64">
                  <c:v>0</c:v>
                </c:pt>
                <c:pt idx="65">
                  <c:v>9.3476868021048626E-2</c:v>
                </c:pt>
                <c:pt idx="66">
                  <c:v>0.18695373604209725</c:v>
                </c:pt>
                <c:pt idx="67">
                  <c:v>0.28043060406314579</c:v>
                </c:pt>
                <c:pt idx="68">
                  <c:v>0.3739074720841945</c:v>
                </c:pt>
                <c:pt idx="69">
                  <c:v>0.46738434010524305</c:v>
                </c:pt>
                <c:pt idx="70">
                  <c:v>0.56086120812629159</c:v>
                </c:pt>
                <c:pt idx="71">
                  <c:v>0.65433807614734019</c:v>
                </c:pt>
                <c:pt idx="72">
                  <c:v>0.74781494416838901</c:v>
                </c:pt>
                <c:pt idx="73">
                  <c:v>0.3739074720841945</c:v>
                </c:pt>
                <c:pt idx="74">
                  <c:v>0.74781494416838901</c:v>
                </c:pt>
                <c:pt idx="75">
                  <c:v>1.1217224162525832</c:v>
                </c:pt>
                <c:pt idx="76">
                  <c:v>1.495629888336778</c:v>
                </c:pt>
                <c:pt idx="77">
                  <c:v>1.8695373604209722</c:v>
                </c:pt>
                <c:pt idx="78">
                  <c:v>2.2434448325051664</c:v>
                </c:pt>
                <c:pt idx="79">
                  <c:v>2.6173523045893607</c:v>
                </c:pt>
                <c:pt idx="80">
                  <c:v>0.84129181218943727</c:v>
                </c:pt>
                <c:pt idx="81">
                  <c:v>1.6825836243788745</c:v>
                </c:pt>
                <c:pt idx="82">
                  <c:v>2.523875436568312</c:v>
                </c:pt>
                <c:pt idx="83">
                  <c:v>3.3651672487577491</c:v>
                </c:pt>
                <c:pt idx="84">
                  <c:v>4.2064590609471875</c:v>
                </c:pt>
                <c:pt idx="85">
                  <c:v>5.0477508731366241</c:v>
                </c:pt>
                <c:pt idx="86">
                  <c:v>1.495629888336778</c:v>
                </c:pt>
                <c:pt idx="87">
                  <c:v>2.991259776673556</c:v>
                </c:pt>
                <c:pt idx="88">
                  <c:v>4.4868896650103327</c:v>
                </c:pt>
                <c:pt idx="89">
                  <c:v>5.9825195533471121</c:v>
                </c:pt>
                <c:pt idx="90">
                  <c:v>7.4781494416838887</c:v>
                </c:pt>
                <c:pt idx="91">
                  <c:v>8.9737793300206654</c:v>
                </c:pt>
                <c:pt idx="92">
                  <c:v>5.9825195533471121</c:v>
                </c:pt>
                <c:pt idx="93">
                  <c:v>11.965039106694224</c:v>
                </c:pt>
                <c:pt idx="94">
                  <c:v>17.947558660041331</c:v>
                </c:pt>
                <c:pt idx="95">
                  <c:v>23.930078213388448</c:v>
                </c:pt>
                <c:pt idx="96">
                  <c:v>0</c:v>
                </c:pt>
                <c:pt idx="97">
                  <c:v>7.0107651015786462E-2</c:v>
                </c:pt>
                <c:pt idx="98">
                  <c:v>0.14021530203157292</c:v>
                </c:pt>
                <c:pt idx="99">
                  <c:v>0.21032295304735932</c:v>
                </c:pt>
                <c:pt idx="100">
                  <c:v>0.28043060406314585</c:v>
                </c:pt>
                <c:pt idx="101">
                  <c:v>0.35053825507893233</c:v>
                </c:pt>
                <c:pt idx="102">
                  <c:v>0.42064590609471864</c:v>
                </c:pt>
                <c:pt idx="103">
                  <c:v>0.49075355711050517</c:v>
                </c:pt>
                <c:pt idx="104">
                  <c:v>0.5608612081262917</c:v>
                </c:pt>
                <c:pt idx="105">
                  <c:v>0.28043060406314585</c:v>
                </c:pt>
                <c:pt idx="106">
                  <c:v>0.5608612081262917</c:v>
                </c:pt>
                <c:pt idx="107">
                  <c:v>0.84129181218943727</c:v>
                </c:pt>
                <c:pt idx="108">
                  <c:v>1.1217224162525834</c:v>
                </c:pt>
                <c:pt idx="109">
                  <c:v>1.4021530203157293</c:v>
                </c:pt>
                <c:pt idx="110">
                  <c:v>1.6825836243788745</c:v>
                </c:pt>
                <c:pt idx="111">
                  <c:v>1.9630142284420207</c:v>
                </c:pt>
                <c:pt idx="112">
                  <c:v>0.6309688591420779</c:v>
                </c:pt>
                <c:pt idx="113">
                  <c:v>1.2619377182841558</c:v>
                </c:pt>
                <c:pt idx="114">
                  <c:v>1.8929065774262341</c:v>
                </c:pt>
                <c:pt idx="115">
                  <c:v>2.5238754365683116</c:v>
                </c:pt>
                <c:pt idx="116">
                  <c:v>3.154844295710391</c:v>
                </c:pt>
                <c:pt idx="117">
                  <c:v>3.7858131548524683</c:v>
                </c:pt>
                <c:pt idx="118">
                  <c:v>1.1217224162525834</c:v>
                </c:pt>
                <c:pt idx="119">
                  <c:v>2.2434448325051668</c:v>
                </c:pt>
                <c:pt idx="120">
                  <c:v>3.3651672487577491</c:v>
                </c:pt>
                <c:pt idx="121">
                  <c:v>4.4868896650103336</c:v>
                </c:pt>
                <c:pt idx="122">
                  <c:v>5.6086120812629172</c:v>
                </c:pt>
                <c:pt idx="123">
                  <c:v>6.7303344975154982</c:v>
                </c:pt>
                <c:pt idx="124">
                  <c:v>4.4868896650103336</c:v>
                </c:pt>
                <c:pt idx="125">
                  <c:v>8.9737793300206672</c:v>
                </c:pt>
                <c:pt idx="126">
                  <c:v>13.460668995030996</c:v>
                </c:pt>
                <c:pt idx="127">
                  <c:v>17.947558660041334</c:v>
                </c:pt>
                <c:pt idx="128">
                  <c:v>0</c:v>
                </c:pt>
                <c:pt idx="129">
                  <c:v>5.6086120812629175E-2</c:v>
                </c:pt>
                <c:pt idx="130">
                  <c:v>0.11217224162525835</c:v>
                </c:pt>
                <c:pt idx="131">
                  <c:v>0.16825836243788747</c:v>
                </c:pt>
                <c:pt idx="132">
                  <c:v>0.2243444832505167</c:v>
                </c:pt>
                <c:pt idx="133">
                  <c:v>0.28043060406314585</c:v>
                </c:pt>
                <c:pt idx="134">
                  <c:v>0.33651672487577494</c:v>
                </c:pt>
                <c:pt idx="135">
                  <c:v>0.39260284568840409</c:v>
                </c:pt>
                <c:pt idx="136">
                  <c:v>0.4486889665010334</c:v>
                </c:pt>
                <c:pt idx="137">
                  <c:v>0.2243444832505167</c:v>
                </c:pt>
                <c:pt idx="138">
                  <c:v>0.4486889665010334</c:v>
                </c:pt>
                <c:pt idx="139">
                  <c:v>0.67303344975154988</c:v>
                </c:pt>
                <c:pt idx="140">
                  <c:v>0.89737793300206681</c:v>
                </c:pt>
                <c:pt idx="141">
                  <c:v>1.1217224162525834</c:v>
                </c:pt>
                <c:pt idx="142">
                  <c:v>1.3460668995030998</c:v>
                </c:pt>
                <c:pt idx="143">
                  <c:v>1.5704113827536164</c:v>
                </c:pt>
                <c:pt idx="144">
                  <c:v>0.50477508731366239</c:v>
                </c:pt>
                <c:pt idx="145">
                  <c:v>1.0095501746273248</c:v>
                </c:pt>
                <c:pt idx="146">
                  <c:v>1.5143252619409873</c:v>
                </c:pt>
                <c:pt idx="147">
                  <c:v>2.0191003492546495</c:v>
                </c:pt>
                <c:pt idx="148">
                  <c:v>2.5238754365683125</c:v>
                </c:pt>
                <c:pt idx="149">
                  <c:v>3.0286505238819745</c:v>
                </c:pt>
                <c:pt idx="150">
                  <c:v>0.89737793300206681</c:v>
                </c:pt>
                <c:pt idx="151">
                  <c:v>1.7947558660041336</c:v>
                </c:pt>
                <c:pt idx="152">
                  <c:v>2.6921337990061995</c:v>
                </c:pt>
                <c:pt idx="153">
                  <c:v>3.5895117320082672</c:v>
                </c:pt>
                <c:pt idx="154">
                  <c:v>4.4868896650103336</c:v>
                </c:pt>
                <c:pt idx="155">
                  <c:v>5.3842675980123991</c:v>
                </c:pt>
                <c:pt idx="156">
                  <c:v>3.5895117320082672</c:v>
                </c:pt>
                <c:pt idx="157">
                  <c:v>7.1790234640165345</c:v>
                </c:pt>
                <c:pt idx="158">
                  <c:v>10.768535196024798</c:v>
                </c:pt>
                <c:pt idx="159">
                  <c:v>14.358046928033069</c:v>
                </c:pt>
              </c:numCache>
            </c:numRef>
          </c:xVal>
          <c:yVal>
            <c:numRef>
              <c:f>Sheet1!$S$3:$S$162</c:f>
              <c:numCache>
                <c:formatCode>0.0</c:formatCode>
                <c:ptCount val="160"/>
                <c:pt idx="0">
                  <c:v>12</c:v>
                </c:pt>
                <c:pt idx="1">
                  <c:v>13</c:v>
                </c:pt>
                <c:pt idx="2">
                  <c:v>12.333333333333334</c:v>
                </c:pt>
                <c:pt idx="3">
                  <c:v>11.333333333333334</c:v>
                </c:pt>
                <c:pt idx="4">
                  <c:v>11.666666666666666</c:v>
                </c:pt>
                <c:pt idx="5">
                  <c:v>11</c:v>
                </c:pt>
                <c:pt idx="6">
                  <c:v>10.666666666666666</c:v>
                </c:pt>
                <c:pt idx="7">
                  <c:v>14.666666666666666</c:v>
                </c:pt>
                <c:pt idx="8">
                  <c:v>14</c:v>
                </c:pt>
                <c:pt idx="9">
                  <c:v>28.333333333333332</c:v>
                </c:pt>
                <c:pt idx="10">
                  <c:v>63</c:v>
                </c:pt>
                <c:pt idx="11">
                  <c:v>90</c:v>
                </c:pt>
                <c:pt idx="12">
                  <c:v>71</c:v>
                </c:pt>
                <c:pt idx="13">
                  <c:v>46.666666666666664</c:v>
                </c:pt>
                <c:pt idx="14">
                  <c:v>43.666666666666664</c:v>
                </c:pt>
                <c:pt idx="15">
                  <c:v>57.666666666666664</c:v>
                </c:pt>
                <c:pt idx="16">
                  <c:v>40.666666666666664</c:v>
                </c:pt>
                <c:pt idx="17">
                  <c:v>66.333333333333329</c:v>
                </c:pt>
                <c:pt idx="18">
                  <c:v>39</c:v>
                </c:pt>
                <c:pt idx="19">
                  <c:v>25.666666666666668</c:v>
                </c:pt>
                <c:pt idx="20">
                  <c:v>19.666666666666668</c:v>
                </c:pt>
                <c:pt idx="21">
                  <c:v>26.333333333333332</c:v>
                </c:pt>
                <c:pt idx="22">
                  <c:v>54.666666666666664</c:v>
                </c:pt>
                <c:pt idx="23">
                  <c:v>33.666666666666664</c:v>
                </c:pt>
                <c:pt idx="24">
                  <c:v>22.333333333333332</c:v>
                </c:pt>
                <c:pt idx="25">
                  <c:v>16</c:v>
                </c:pt>
                <c:pt idx="26">
                  <c:v>13.666666666666666</c:v>
                </c:pt>
                <c:pt idx="27">
                  <c:v>15</c:v>
                </c:pt>
                <c:pt idx="28">
                  <c:v>13.333333333333334</c:v>
                </c:pt>
                <c:pt idx="29">
                  <c:v>9</c:v>
                </c:pt>
                <c:pt idx="30">
                  <c:v>7.666666666666667</c:v>
                </c:pt>
                <c:pt idx="31">
                  <c:v>6.666666666666667</c:v>
                </c:pt>
                <c:pt idx="32">
                  <c:v>12.666666666666666</c:v>
                </c:pt>
                <c:pt idx="33">
                  <c:v>10.666666666666666</c:v>
                </c:pt>
                <c:pt idx="34">
                  <c:v>12.666666666666666</c:v>
                </c:pt>
                <c:pt idx="35">
                  <c:v>11</c:v>
                </c:pt>
                <c:pt idx="36">
                  <c:v>13</c:v>
                </c:pt>
                <c:pt idx="37">
                  <c:v>13</c:v>
                </c:pt>
                <c:pt idx="38">
                  <c:v>13.666666666666666</c:v>
                </c:pt>
                <c:pt idx="39">
                  <c:v>16</c:v>
                </c:pt>
                <c:pt idx="40">
                  <c:v>16</c:v>
                </c:pt>
                <c:pt idx="41">
                  <c:v>28</c:v>
                </c:pt>
                <c:pt idx="42">
                  <c:v>47</c:v>
                </c:pt>
                <c:pt idx="43">
                  <c:v>97.333333333333329</c:v>
                </c:pt>
                <c:pt idx="44">
                  <c:v>85.666666666666671</c:v>
                </c:pt>
                <c:pt idx="45">
                  <c:v>60.666666666666664</c:v>
                </c:pt>
                <c:pt idx="46">
                  <c:v>59</c:v>
                </c:pt>
                <c:pt idx="47">
                  <c:v>65.666666666666671</c:v>
                </c:pt>
                <c:pt idx="48">
                  <c:v>32</c:v>
                </c:pt>
                <c:pt idx="49">
                  <c:v>67.333333333333329</c:v>
                </c:pt>
                <c:pt idx="50">
                  <c:v>54</c:v>
                </c:pt>
                <c:pt idx="51">
                  <c:v>42.666666666666664</c:v>
                </c:pt>
                <c:pt idx="52">
                  <c:v>32.333333333333336</c:v>
                </c:pt>
                <c:pt idx="53">
                  <c:v>38</c:v>
                </c:pt>
                <c:pt idx="54">
                  <c:v>41.666666666666664</c:v>
                </c:pt>
                <c:pt idx="55">
                  <c:v>39</c:v>
                </c:pt>
                <c:pt idx="56">
                  <c:v>37.666666666666664</c:v>
                </c:pt>
                <c:pt idx="57">
                  <c:v>23.333333333333332</c:v>
                </c:pt>
                <c:pt idx="58">
                  <c:v>20.666666666666668</c:v>
                </c:pt>
                <c:pt idx="59">
                  <c:v>21</c:v>
                </c:pt>
                <c:pt idx="60">
                  <c:v>20</c:v>
                </c:pt>
                <c:pt idx="61">
                  <c:v>15.333333333333334</c:v>
                </c:pt>
                <c:pt idx="62">
                  <c:v>11.333333333333334</c:v>
                </c:pt>
                <c:pt idx="63">
                  <c:v>10.333333333333334</c:v>
                </c:pt>
                <c:pt idx="64">
                  <c:v>15</c:v>
                </c:pt>
                <c:pt idx="65">
                  <c:v>14.666666666666666</c:v>
                </c:pt>
                <c:pt idx="66">
                  <c:v>15</c:v>
                </c:pt>
                <c:pt idx="67">
                  <c:v>12.666666666666666</c:v>
                </c:pt>
                <c:pt idx="68">
                  <c:v>15</c:v>
                </c:pt>
                <c:pt idx="69">
                  <c:v>22.666666666666668</c:v>
                </c:pt>
                <c:pt idx="70">
                  <c:v>15.333333333333334</c:v>
                </c:pt>
                <c:pt idx="71">
                  <c:v>19.333333333333332</c:v>
                </c:pt>
                <c:pt idx="72">
                  <c:v>17.666666666666668</c:v>
                </c:pt>
                <c:pt idx="73">
                  <c:v>23.666666666666668</c:v>
                </c:pt>
                <c:pt idx="74">
                  <c:v>37</c:v>
                </c:pt>
                <c:pt idx="75">
                  <c:v>64.666666666666671</c:v>
                </c:pt>
                <c:pt idx="76">
                  <c:v>89.666666666666671</c:v>
                </c:pt>
                <c:pt idx="77">
                  <c:v>94.666666666666671</c:v>
                </c:pt>
                <c:pt idx="78">
                  <c:v>92.666666666666671</c:v>
                </c:pt>
                <c:pt idx="79">
                  <c:v>59.333333333333336</c:v>
                </c:pt>
                <c:pt idx="80">
                  <c:v>23.333333333333332</c:v>
                </c:pt>
                <c:pt idx="81">
                  <c:v>65</c:v>
                </c:pt>
                <c:pt idx="82">
                  <c:v>61</c:v>
                </c:pt>
                <c:pt idx="83">
                  <c:v>52.666666666666664</c:v>
                </c:pt>
                <c:pt idx="84">
                  <c:v>45.333333333333336</c:v>
                </c:pt>
                <c:pt idx="85">
                  <c:v>40.333333333333336</c:v>
                </c:pt>
                <c:pt idx="86">
                  <c:v>30</c:v>
                </c:pt>
                <c:pt idx="87">
                  <c:v>31.666666666666668</c:v>
                </c:pt>
                <c:pt idx="88">
                  <c:v>44</c:v>
                </c:pt>
                <c:pt idx="89">
                  <c:v>33.666666666666664</c:v>
                </c:pt>
                <c:pt idx="90">
                  <c:v>30.666666666666668</c:v>
                </c:pt>
                <c:pt idx="91">
                  <c:v>27.333333333333332</c:v>
                </c:pt>
                <c:pt idx="92">
                  <c:v>26.333333333333332</c:v>
                </c:pt>
                <c:pt idx="93">
                  <c:v>20.333333333333332</c:v>
                </c:pt>
                <c:pt idx="94">
                  <c:v>16</c:v>
                </c:pt>
                <c:pt idx="95">
                  <c:v>14.333333333333334</c:v>
                </c:pt>
                <c:pt idx="96">
                  <c:v>12.666666666666666</c:v>
                </c:pt>
                <c:pt idx="97">
                  <c:v>13.666666666666666</c:v>
                </c:pt>
                <c:pt idx="98">
                  <c:v>12</c:v>
                </c:pt>
                <c:pt idx="99">
                  <c:v>14</c:v>
                </c:pt>
                <c:pt idx="100">
                  <c:v>12</c:v>
                </c:pt>
                <c:pt idx="101">
                  <c:v>13.5</c:v>
                </c:pt>
                <c:pt idx="102">
                  <c:v>12</c:v>
                </c:pt>
                <c:pt idx="103">
                  <c:v>12</c:v>
                </c:pt>
                <c:pt idx="104">
                  <c:v>11.333333333333334</c:v>
                </c:pt>
                <c:pt idx="105">
                  <c:v>22</c:v>
                </c:pt>
                <c:pt idx="106">
                  <c:v>35</c:v>
                </c:pt>
                <c:pt idx="107">
                  <c:v>71.666666666666671</c:v>
                </c:pt>
                <c:pt idx="108">
                  <c:v>68.333333333333329</c:v>
                </c:pt>
                <c:pt idx="109">
                  <c:v>88.666666666666671</c:v>
                </c:pt>
                <c:pt idx="110">
                  <c:v>84</c:v>
                </c:pt>
                <c:pt idx="111">
                  <c:v>94.666666666666671</c:v>
                </c:pt>
                <c:pt idx="112">
                  <c:v>18.666666666666668</c:v>
                </c:pt>
                <c:pt idx="113">
                  <c:v>48.333333333333336</c:v>
                </c:pt>
                <c:pt idx="114">
                  <c:v>57.666666666666664</c:v>
                </c:pt>
                <c:pt idx="115">
                  <c:v>63.666666666666664</c:v>
                </c:pt>
                <c:pt idx="116">
                  <c:v>54</c:v>
                </c:pt>
                <c:pt idx="117">
                  <c:v>54.666666666666664</c:v>
                </c:pt>
                <c:pt idx="118">
                  <c:v>26</c:v>
                </c:pt>
                <c:pt idx="119">
                  <c:v>43</c:v>
                </c:pt>
                <c:pt idx="120">
                  <c:v>50.666666666666664</c:v>
                </c:pt>
                <c:pt idx="121">
                  <c:v>37</c:v>
                </c:pt>
                <c:pt idx="122">
                  <c:v>32.333333333333336</c:v>
                </c:pt>
                <c:pt idx="123">
                  <c:v>31.666666666666668</c:v>
                </c:pt>
                <c:pt idx="124">
                  <c:v>30.666666666666668</c:v>
                </c:pt>
                <c:pt idx="125">
                  <c:v>23.666666666666668</c:v>
                </c:pt>
                <c:pt idx="126">
                  <c:v>17.666666666666668</c:v>
                </c:pt>
                <c:pt idx="127">
                  <c:v>16.333333333333332</c:v>
                </c:pt>
                <c:pt idx="128">
                  <c:v>7.666666666666667</c:v>
                </c:pt>
                <c:pt idx="129">
                  <c:v>11</c:v>
                </c:pt>
                <c:pt idx="130">
                  <c:v>12.666666666666666</c:v>
                </c:pt>
                <c:pt idx="131">
                  <c:v>13.666666666666666</c:v>
                </c:pt>
                <c:pt idx="132">
                  <c:v>17.666666666666668</c:v>
                </c:pt>
                <c:pt idx="133">
                  <c:v>13</c:v>
                </c:pt>
                <c:pt idx="134">
                  <c:v>11.5</c:v>
                </c:pt>
                <c:pt idx="135">
                  <c:v>8.6666666666666661</c:v>
                </c:pt>
                <c:pt idx="136">
                  <c:v>8</c:v>
                </c:pt>
                <c:pt idx="137">
                  <c:v>20.666666666666668</c:v>
                </c:pt>
                <c:pt idx="138">
                  <c:v>26</c:v>
                </c:pt>
                <c:pt idx="139">
                  <c:v>42.333333333333336</c:v>
                </c:pt>
                <c:pt idx="140">
                  <c:v>87.333333333333329</c:v>
                </c:pt>
                <c:pt idx="141">
                  <c:v>96.666666666666671</c:v>
                </c:pt>
                <c:pt idx="142">
                  <c:v>100.66666666666667</c:v>
                </c:pt>
                <c:pt idx="143">
                  <c:v>86.666666666666671</c:v>
                </c:pt>
                <c:pt idx="144">
                  <c:v>19.333333333333332</c:v>
                </c:pt>
                <c:pt idx="145">
                  <c:v>50.333333333333336</c:v>
                </c:pt>
                <c:pt idx="146">
                  <c:v>61.666666666666664</c:v>
                </c:pt>
                <c:pt idx="147">
                  <c:v>69.333333333333329</c:v>
                </c:pt>
                <c:pt idx="148">
                  <c:v>60.333333333333336</c:v>
                </c:pt>
                <c:pt idx="149">
                  <c:v>58</c:v>
                </c:pt>
                <c:pt idx="150">
                  <c:v>23</c:v>
                </c:pt>
                <c:pt idx="151">
                  <c:v>47.333333333333336</c:v>
                </c:pt>
                <c:pt idx="152">
                  <c:v>56.666666666666664</c:v>
                </c:pt>
                <c:pt idx="153">
                  <c:v>44</c:v>
                </c:pt>
                <c:pt idx="154">
                  <c:v>39.666666666666664</c:v>
                </c:pt>
                <c:pt idx="155">
                  <c:v>39</c:v>
                </c:pt>
                <c:pt idx="156">
                  <c:v>30.333333333333332</c:v>
                </c:pt>
                <c:pt idx="157">
                  <c:v>27.666666666666668</c:v>
                </c:pt>
                <c:pt idx="158">
                  <c:v>23</c:v>
                </c:pt>
                <c:pt idx="15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FB-0842-AB94-822AB88156C5}"/>
            </c:ext>
          </c:extLst>
        </c:ser>
        <c:ser>
          <c:idx val="3"/>
          <c:order val="1"/>
          <c:tx>
            <c:v>R4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Sheet1!$M$270:$M$317</c:f>
              <c:numCache>
                <c:formatCode>0</c:formatCode>
                <c:ptCount val="48"/>
                <c:pt idx="0">
                  <c:v>0</c:v>
                </c:pt>
                <c:pt idx="1">
                  <c:v>0.28043060406314585</c:v>
                </c:pt>
                <c:pt idx="2">
                  <c:v>0.84129181218943727</c:v>
                </c:pt>
                <c:pt idx="3">
                  <c:v>1.4021530203157293</c:v>
                </c:pt>
                <c:pt idx="4">
                  <c:v>1.9630142284420207</c:v>
                </c:pt>
                <c:pt idx="5">
                  <c:v>1.1217224162525834</c:v>
                </c:pt>
                <c:pt idx="6">
                  <c:v>3.3651672487577491</c:v>
                </c:pt>
                <c:pt idx="7">
                  <c:v>5.6086120812629172</c:v>
                </c:pt>
                <c:pt idx="8">
                  <c:v>7.8520569137680827</c:v>
                </c:pt>
                <c:pt idx="9">
                  <c:v>4.4868896650103336</c:v>
                </c:pt>
                <c:pt idx="10">
                  <c:v>13.460668995030996</c:v>
                </c:pt>
                <c:pt idx="11">
                  <c:v>22.434448325051669</c:v>
                </c:pt>
                <c:pt idx="12">
                  <c:v>17.947558660041334</c:v>
                </c:pt>
                <c:pt idx="13">
                  <c:v>53.842675980123985</c:v>
                </c:pt>
                <c:pt idx="14">
                  <c:v>0</c:v>
                </c:pt>
                <c:pt idx="15">
                  <c:v>9.3476868021048626E-2</c:v>
                </c:pt>
                <c:pt idx="16">
                  <c:v>0.28043060406314579</c:v>
                </c:pt>
                <c:pt idx="17">
                  <c:v>0.46738434010524305</c:v>
                </c:pt>
                <c:pt idx="18">
                  <c:v>0.65433807614734019</c:v>
                </c:pt>
                <c:pt idx="19">
                  <c:v>0.3739074720841945</c:v>
                </c:pt>
                <c:pt idx="20">
                  <c:v>1.1217224162525832</c:v>
                </c:pt>
                <c:pt idx="21">
                  <c:v>1.8695373604209722</c:v>
                </c:pt>
                <c:pt idx="22">
                  <c:v>2.6173523045893607</c:v>
                </c:pt>
                <c:pt idx="23">
                  <c:v>1.495629888336778</c:v>
                </c:pt>
                <c:pt idx="24">
                  <c:v>4.4868896650103327</c:v>
                </c:pt>
                <c:pt idx="25">
                  <c:v>7.4781494416838887</c:v>
                </c:pt>
                <c:pt idx="26">
                  <c:v>5.9825195533471121</c:v>
                </c:pt>
                <c:pt idx="27">
                  <c:v>17.947558660041331</c:v>
                </c:pt>
                <c:pt idx="28">
                  <c:v>0</c:v>
                </c:pt>
                <c:pt idx="29">
                  <c:v>5.6086120812629175E-2</c:v>
                </c:pt>
                <c:pt idx="30">
                  <c:v>0.16825836243788747</c:v>
                </c:pt>
                <c:pt idx="31">
                  <c:v>0.28043060406314585</c:v>
                </c:pt>
                <c:pt idx="32">
                  <c:v>0.39260284568840409</c:v>
                </c:pt>
                <c:pt idx="33">
                  <c:v>0.2243444832505167</c:v>
                </c:pt>
                <c:pt idx="34">
                  <c:v>0.4486889665010334</c:v>
                </c:pt>
                <c:pt idx="35">
                  <c:v>0.67303344975154988</c:v>
                </c:pt>
                <c:pt idx="36">
                  <c:v>0.89737793300206681</c:v>
                </c:pt>
                <c:pt idx="37">
                  <c:v>1.1217224162525834</c:v>
                </c:pt>
                <c:pt idx="38">
                  <c:v>1.3460668995030998</c:v>
                </c:pt>
                <c:pt idx="39">
                  <c:v>1.5704113827536164</c:v>
                </c:pt>
                <c:pt idx="40">
                  <c:v>0.89737793300206681</c:v>
                </c:pt>
                <c:pt idx="41">
                  <c:v>1.7947558660041336</c:v>
                </c:pt>
                <c:pt idx="42">
                  <c:v>2.6921337990061995</c:v>
                </c:pt>
                <c:pt idx="43">
                  <c:v>3.5895117320082672</c:v>
                </c:pt>
                <c:pt idx="44">
                  <c:v>4.4868896650103336</c:v>
                </c:pt>
                <c:pt idx="45">
                  <c:v>5.3842675980123991</c:v>
                </c:pt>
                <c:pt idx="46">
                  <c:v>3.5895117320082672</c:v>
                </c:pt>
                <c:pt idx="47">
                  <c:v>10.768535196024798</c:v>
                </c:pt>
              </c:numCache>
            </c:numRef>
          </c:xVal>
          <c:yVal>
            <c:numRef>
              <c:f>Sheet1!$S$270:$S$317</c:f>
              <c:numCache>
                <c:formatCode>0.0</c:formatCode>
                <c:ptCount val="48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14</c:v>
                </c:pt>
                <c:pt idx="5">
                  <c:v>43.666666666666664</c:v>
                </c:pt>
                <c:pt idx="6">
                  <c:v>81.666666666666671</c:v>
                </c:pt>
                <c:pt idx="7">
                  <c:v>38.333333333333336</c:v>
                </c:pt>
                <c:pt idx="8">
                  <c:v>49</c:v>
                </c:pt>
                <c:pt idx="9">
                  <c:v>55</c:v>
                </c:pt>
                <c:pt idx="10">
                  <c:v>12</c:v>
                </c:pt>
                <c:pt idx="11">
                  <c:v>8</c:v>
                </c:pt>
                <c:pt idx="12">
                  <c:v>13</c:v>
                </c:pt>
                <c:pt idx="13">
                  <c:v>6</c:v>
                </c:pt>
                <c:pt idx="14">
                  <c:v>9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11</c:v>
                </c:pt>
                <c:pt idx="19">
                  <c:v>30</c:v>
                </c:pt>
                <c:pt idx="20">
                  <c:v>66</c:v>
                </c:pt>
                <c:pt idx="21">
                  <c:v>77</c:v>
                </c:pt>
                <c:pt idx="22">
                  <c:v>34</c:v>
                </c:pt>
                <c:pt idx="23">
                  <c:v>50</c:v>
                </c:pt>
                <c:pt idx="24">
                  <c:v>21</c:v>
                </c:pt>
                <c:pt idx="25">
                  <c:v>13</c:v>
                </c:pt>
                <c:pt idx="26">
                  <c:v>24</c:v>
                </c:pt>
                <c:pt idx="27">
                  <c:v>11</c:v>
                </c:pt>
                <c:pt idx="28">
                  <c:v>10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23.666666666666668</c:v>
                </c:pt>
                <c:pt idx="34">
                  <c:v>30.5</c:v>
                </c:pt>
                <c:pt idx="35">
                  <c:v>58.6</c:v>
                </c:pt>
                <c:pt idx="36">
                  <c:v>62</c:v>
                </c:pt>
                <c:pt idx="37">
                  <c:v>47.4</c:v>
                </c:pt>
                <c:pt idx="38">
                  <c:v>45.5</c:v>
                </c:pt>
                <c:pt idx="39">
                  <c:v>32</c:v>
                </c:pt>
                <c:pt idx="40">
                  <c:v>35.333333333333336</c:v>
                </c:pt>
                <c:pt idx="41">
                  <c:v>33</c:v>
                </c:pt>
                <c:pt idx="42">
                  <c:v>39.799999999999997</c:v>
                </c:pt>
                <c:pt idx="43">
                  <c:v>44.5</c:v>
                </c:pt>
                <c:pt idx="44">
                  <c:v>30</c:v>
                </c:pt>
                <c:pt idx="45">
                  <c:v>41</c:v>
                </c:pt>
                <c:pt idx="46">
                  <c:v>30</c:v>
                </c:pt>
                <c:pt idx="47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FB-0842-AB94-822AB88156C5}"/>
            </c:ext>
          </c:extLst>
        </c:ser>
        <c:ser>
          <c:idx val="4"/>
          <c:order val="2"/>
          <c:tx>
            <c:v>R5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Sheet1!$M$318:$M$350</c:f>
              <c:numCache>
                <c:formatCode>0</c:formatCode>
                <c:ptCount val="33"/>
                <c:pt idx="0">
                  <c:v>0</c:v>
                </c:pt>
                <c:pt idx="1">
                  <c:v>0.28043060406314585</c:v>
                </c:pt>
                <c:pt idx="2">
                  <c:v>0.84129181218943727</c:v>
                </c:pt>
                <c:pt idx="3">
                  <c:v>1.4021530203157293</c:v>
                </c:pt>
                <c:pt idx="4">
                  <c:v>1.9630142284420207</c:v>
                </c:pt>
                <c:pt idx="5">
                  <c:v>1.1217224162525834</c:v>
                </c:pt>
                <c:pt idx="6">
                  <c:v>3.3651672487577491</c:v>
                </c:pt>
                <c:pt idx="7">
                  <c:v>5.6086120812629172</c:v>
                </c:pt>
                <c:pt idx="8">
                  <c:v>7.8520569137680827</c:v>
                </c:pt>
                <c:pt idx="9">
                  <c:v>4.4868896650103336</c:v>
                </c:pt>
                <c:pt idx="10">
                  <c:v>13.460668995030996</c:v>
                </c:pt>
                <c:pt idx="11">
                  <c:v>22.434448325051669</c:v>
                </c:pt>
                <c:pt idx="12">
                  <c:v>17.947558660041334</c:v>
                </c:pt>
                <c:pt idx="13">
                  <c:v>53.842675980123985</c:v>
                </c:pt>
                <c:pt idx="14">
                  <c:v>0</c:v>
                </c:pt>
                <c:pt idx="15">
                  <c:v>5.6086120812629175E-2</c:v>
                </c:pt>
                <c:pt idx="16">
                  <c:v>0.16825836243788747</c:v>
                </c:pt>
                <c:pt idx="17">
                  <c:v>0.28043060406314585</c:v>
                </c:pt>
                <c:pt idx="18">
                  <c:v>0.39260284568840409</c:v>
                </c:pt>
                <c:pt idx="19">
                  <c:v>0.2243444832505167</c:v>
                </c:pt>
                <c:pt idx="20">
                  <c:v>0.4486889665010334</c:v>
                </c:pt>
                <c:pt idx="21">
                  <c:v>0.67303344975154988</c:v>
                </c:pt>
                <c:pt idx="22">
                  <c:v>0.89737793300206681</c:v>
                </c:pt>
                <c:pt idx="23">
                  <c:v>1.1217224162525834</c:v>
                </c:pt>
                <c:pt idx="24">
                  <c:v>1.3460668995030998</c:v>
                </c:pt>
                <c:pt idx="25">
                  <c:v>1.5704113827536164</c:v>
                </c:pt>
                <c:pt idx="26">
                  <c:v>0.89737793300206681</c:v>
                </c:pt>
                <c:pt idx="27">
                  <c:v>1.7947558660041336</c:v>
                </c:pt>
                <c:pt idx="28">
                  <c:v>2.6921337990061995</c:v>
                </c:pt>
                <c:pt idx="29">
                  <c:v>3.5895117320082672</c:v>
                </c:pt>
                <c:pt idx="30">
                  <c:v>4.4868896650103336</c:v>
                </c:pt>
                <c:pt idx="31">
                  <c:v>3.5895117320082672</c:v>
                </c:pt>
                <c:pt idx="32">
                  <c:v>10.768535196024798</c:v>
                </c:pt>
              </c:numCache>
            </c:numRef>
          </c:xVal>
          <c:yVal>
            <c:numRef>
              <c:f>Sheet1!$S$318:$S$350</c:f>
              <c:numCache>
                <c:formatCode>0.0</c:formatCode>
                <c:ptCount val="33"/>
                <c:pt idx="0">
                  <c:v>10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34</c:v>
                </c:pt>
                <c:pt idx="6">
                  <c:v>93.5</c:v>
                </c:pt>
                <c:pt idx="7">
                  <c:v>57.5</c:v>
                </c:pt>
                <c:pt idx="8">
                  <c:v>43</c:v>
                </c:pt>
                <c:pt idx="9">
                  <c:v>52</c:v>
                </c:pt>
                <c:pt idx="10">
                  <c:v>23</c:v>
                </c:pt>
                <c:pt idx="11">
                  <c:v>13</c:v>
                </c:pt>
                <c:pt idx="12">
                  <c:v>13</c:v>
                </c:pt>
                <c:pt idx="13">
                  <c:v>8</c:v>
                </c:pt>
                <c:pt idx="14">
                  <c:v>10</c:v>
                </c:pt>
                <c:pt idx="15">
                  <c:v>11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24</c:v>
                </c:pt>
                <c:pt idx="20">
                  <c:v>41</c:v>
                </c:pt>
                <c:pt idx="21">
                  <c:v>65</c:v>
                </c:pt>
                <c:pt idx="22">
                  <c:v>69</c:v>
                </c:pt>
                <c:pt idx="23">
                  <c:v>65.2</c:v>
                </c:pt>
                <c:pt idx="24">
                  <c:v>61</c:v>
                </c:pt>
                <c:pt idx="25">
                  <c:v>44.666666666666664</c:v>
                </c:pt>
                <c:pt idx="26">
                  <c:v>40.333333333333336</c:v>
                </c:pt>
                <c:pt idx="27">
                  <c:v>50</c:v>
                </c:pt>
                <c:pt idx="28">
                  <c:v>44.6</c:v>
                </c:pt>
                <c:pt idx="29">
                  <c:v>28.5</c:v>
                </c:pt>
                <c:pt idx="30">
                  <c:v>32.4</c:v>
                </c:pt>
                <c:pt idx="31">
                  <c:v>33</c:v>
                </c:pt>
                <c:pt idx="32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FB-0842-AB94-822AB8815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769272"/>
        <c:axId val="746922312"/>
      </c:scatterChart>
      <c:valAx>
        <c:axId val="715769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100" b="0" i="0" baseline="0">
                    <a:effectLst/>
                  </a:rPr>
                  <a:t>De</a:t>
                </a:r>
                <a:r>
                  <a:rPr lang="en-GB" sz="1100" b="0" i="0" baseline="-25000">
                    <a:effectLst/>
                  </a:rPr>
                  <a:t>o</a:t>
                </a:r>
                <a:r>
                  <a:rPr lang="en-GB" sz="1100" b="0" i="0" baseline="0">
                    <a:effectLst/>
                  </a:rPr>
                  <a:t>(x</a:t>
                </a:r>
                <a:r>
                  <a:rPr lang="en-GB" sz="1100" b="0" i="0" baseline="-25000">
                    <a:effectLst/>
                  </a:rPr>
                  <a:t>o</a:t>
                </a:r>
                <a:r>
                  <a:rPr lang="en-GB" sz="1100" b="0" i="0" baseline="0">
                    <a:effectLst/>
                  </a:rPr>
                  <a:t>/R</a:t>
                </a:r>
                <a:r>
                  <a:rPr lang="en-GB" sz="1100" b="0" i="0" baseline="-25000">
                    <a:effectLst/>
                  </a:rPr>
                  <a:t>c</a:t>
                </a:r>
                <a:r>
                  <a:rPr lang="en-GB" sz="1100" b="0" i="0" baseline="0">
                    <a:effectLst/>
                  </a:rPr>
                  <a:t>)/Re</a:t>
                </a:r>
                <a:r>
                  <a:rPr lang="en-GB" sz="1100" b="0" i="0" baseline="-25000">
                    <a:effectLst/>
                  </a:rPr>
                  <a:t>n</a:t>
                </a:r>
                <a:endParaRPr lang="en-GB" sz="11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6922312"/>
        <c:crosses val="autoZero"/>
        <c:crossBetween val="midCat"/>
      </c:valAx>
      <c:valAx>
        <c:axId val="746922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57692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876140482439694"/>
          <c:y val="7.5808544765237684E-2"/>
          <c:w val="7.0365485564304456E-2"/>
          <c:h val="0.22801254009915423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baseline="0"/>
              <a:t>Radius of Curvature</a:t>
            </a:r>
            <a:endParaRPr lang="en-GB"/>
          </a:p>
        </c:rich>
      </c:tx>
      <c:layout>
        <c:manualLayout>
          <c:xMode val="edge"/>
          <c:yMode val="edge"/>
          <c:x val="0.36688476440444939"/>
          <c:y val="7.40740740740740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68691413573303"/>
          <c:y val="5.1342592592592592E-2"/>
          <c:w val="0.71097446152564248"/>
          <c:h val="0.73172098279381748"/>
        </c:manualLayout>
      </c:layout>
      <c:scatterChart>
        <c:scatterStyle val="lineMarker"/>
        <c:varyColors val="0"/>
        <c:ser>
          <c:idx val="0"/>
          <c:order val="0"/>
          <c:tx>
            <c:v>R1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Sheet1!$M$3:$M$162</c:f>
              <c:numCache>
                <c:formatCode>0</c:formatCode>
                <c:ptCount val="160"/>
                <c:pt idx="0">
                  <c:v>0</c:v>
                </c:pt>
                <c:pt idx="1">
                  <c:v>0.28043060406314585</c:v>
                </c:pt>
                <c:pt idx="2">
                  <c:v>0.5608612081262917</c:v>
                </c:pt>
                <c:pt idx="3">
                  <c:v>0.84129181218943727</c:v>
                </c:pt>
                <c:pt idx="4">
                  <c:v>1.1217224162525834</c:v>
                </c:pt>
                <c:pt idx="5">
                  <c:v>1.4021530203157293</c:v>
                </c:pt>
                <c:pt idx="6">
                  <c:v>1.6825836243788745</c:v>
                </c:pt>
                <c:pt idx="7">
                  <c:v>1.9630142284420207</c:v>
                </c:pt>
                <c:pt idx="8">
                  <c:v>2.2434448325051668</c:v>
                </c:pt>
                <c:pt idx="9">
                  <c:v>1.1217224162525834</c:v>
                </c:pt>
                <c:pt idx="10">
                  <c:v>2.2434448325051668</c:v>
                </c:pt>
                <c:pt idx="11">
                  <c:v>3.3651672487577491</c:v>
                </c:pt>
                <c:pt idx="12">
                  <c:v>4.4868896650103336</c:v>
                </c:pt>
                <c:pt idx="13">
                  <c:v>5.6086120812629172</c:v>
                </c:pt>
                <c:pt idx="14">
                  <c:v>6.7303344975154982</c:v>
                </c:pt>
                <c:pt idx="15">
                  <c:v>7.8520569137680827</c:v>
                </c:pt>
                <c:pt idx="16">
                  <c:v>2.5238754365683116</c:v>
                </c:pt>
                <c:pt idx="17">
                  <c:v>5.0477508731366232</c:v>
                </c:pt>
                <c:pt idx="18">
                  <c:v>7.5716263097049366</c:v>
                </c:pt>
                <c:pt idx="19">
                  <c:v>10.095501746273246</c:v>
                </c:pt>
                <c:pt idx="20">
                  <c:v>12.619377182841564</c:v>
                </c:pt>
                <c:pt idx="21">
                  <c:v>15.143252619409873</c:v>
                </c:pt>
                <c:pt idx="22">
                  <c:v>4.4868896650103336</c:v>
                </c:pt>
                <c:pt idx="23">
                  <c:v>8.9737793300206672</c:v>
                </c:pt>
                <c:pt idx="24">
                  <c:v>13.460668995030996</c:v>
                </c:pt>
                <c:pt idx="25">
                  <c:v>17.947558660041334</c:v>
                </c:pt>
                <c:pt idx="26">
                  <c:v>22.434448325051669</c:v>
                </c:pt>
                <c:pt idx="27">
                  <c:v>26.921337990061993</c:v>
                </c:pt>
                <c:pt idx="28">
                  <c:v>17.947558660041334</c:v>
                </c:pt>
                <c:pt idx="29">
                  <c:v>35.895117320082669</c:v>
                </c:pt>
                <c:pt idx="30">
                  <c:v>53.842675980123985</c:v>
                </c:pt>
                <c:pt idx="31">
                  <c:v>71.790234640165338</c:v>
                </c:pt>
                <c:pt idx="32">
                  <c:v>0</c:v>
                </c:pt>
                <c:pt idx="33">
                  <c:v>0.14021530203157292</c:v>
                </c:pt>
                <c:pt idx="34">
                  <c:v>0.28043060406314585</c:v>
                </c:pt>
                <c:pt idx="35">
                  <c:v>0.42064590609471864</c:v>
                </c:pt>
                <c:pt idx="36">
                  <c:v>0.5608612081262917</c:v>
                </c:pt>
                <c:pt idx="37">
                  <c:v>0.70107651015786465</c:v>
                </c:pt>
                <c:pt idx="38">
                  <c:v>0.84129181218943727</c:v>
                </c:pt>
                <c:pt idx="39">
                  <c:v>0.98150711422101033</c:v>
                </c:pt>
                <c:pt idx="40">
                  <c:v>1.1217224162525834</c:v>
                </c:pt>
                <c:pt idx="41">
                  <c:v>0.5608612081262917</c:v>
                </c:pt>
                <c:pt idx="42">
                  <c:v>1.1217224162525834</c:v>
                </c:pt>
                <c:pt idx="43">
                  <c:v>1.6825836243788745</c:v>
                </c:pt>
                <c:pt idx="44">
                  <c:v>2.2434448325051668</c:v>
                </c:pt>
                <c:pt idx="45">
                  <c:v>2.8043060406314586</c:v>
                </c:pt>
                <c:pt idx="46">
                  <c:v>3.3651672487577491</c:v>
                </c:pt>
                <c:pt idx="47">
                  <c:v>3.9260284568840413</c:v>
                </c:pt>
                <c:pt idx="48">
                  <c:v>1.2619377182841558</c:v>
                </c:pt>
                <c:pt idx="49">
                  <c:v>2.5238754365683116</c:v>
                </c:pt>
                <c:pt idx="50">
                  <c:v>3.7858131548524683</c:v>
                </c:pt>
                <c:pt idx="51">
                  <c:v>5.0477508731366232</c:v>
                </c:pt>
                <c:pt idx="52">
                  <c:v>6.3096885914207821</c:v>
                </c:pt>
                <c:pt idx="53">
                  <c:v>7.5716263097049366</c:v>
                </c:pt>
                <c:pt idx="54">
                  <c:v>2.2434448325051668</c:v>
                </c:pt>
                <c:pt idx="55">
                  <c:v>4.4868896650103336</c:v>
                </c:pt>
                <c:pt idx="56">
                  <c:v>6.7303344975154982</c:v>
                </c:pt>
                <c:pt idx="57">
                  <c:v>8.9737793300206672</c:v>
                </c:pt>
                <c:pt idx="58">
                  <c:v>11.217224162525834</c:v>
                </c:pt>
                <c:pt idx="59">
                  <c:v>13.460668995030996</c:v>
                </c:pt>
                <c:pt idx="60">
                  <c:v>8.9737793300206672</c:v>
                </c:pt>
                <c:pt idx="61">
                  <c:v>17.947558660041334</c:v>
                </c:pt>
                <c:pt idx="62">
                  <c:v>26.921337990061993</c:v>
                </c:pt>
                <c:pt idx="63">
                  <c:v>35.895117320082669</c:v>
                </c:pt>
                <c:pt idx="64">
                  <c:v>0</c:v>
                </c:pt>
                <c:pt idx="65">
                  <c:v>9.3476868021048626E-2</c:v>
                </c:pt>
                <c:pt idx="66">
                  <c:v>0.18695373604209725</c:v>
                </c:pt>
                <c:pt idx="67">
                  <c:v>0.28043060406314579</c:v>
                </c:pt>
                <c:pt idx="68">
                  <c:v>0.3739074720841945</c:v>
                </c:pt>
                <c:pt idx="69">
                  <c:v>0.46738434010524305</c:v>
                </c:pt>
                <c:pt idx="70">
                  <c:v>0.56086120812629159</c:v>
                </c:pt>
                <c:pt idx="71">
                  <c:v>0.65433807614734019</c:v>
                </c:pt>
                <c:pt idx="72">
                  <c:v>0.74781494416838901</c:v>
                </c:pt>
                <c:pt idx="73">
                  <c:v>0.3739074720841945</c:v>
                </c:pt>
                <c:pt idx="74">
                  <c:v>0.74781494416838901</c:v>
                </c:pt>
                <c:pt idx="75">
                  <c:v>1.1217224162525832</c:v>
                </c:pt>
                <c:pt idx="76">
                  <c:v>1.495629888336778</c:v>
                </c:pt>
                <c:pt idx="77">
                  <c:v>1.8695373604209722</c:v>
                </c:pt>
                <c:pt idx="78">
                  <c:v>2.2434448325051664</c:v>
                </c:pt>
                <c:pt idx="79">
                  <c:v>2.6173523045893607</c:v>
                </c:pt>
                <c:pt idx="80">
                  <c:v>0.84129181218943727</c:v>
                </c:pt>
                <c:pt idx="81">
                  <c:v>1.6825836243788745</c:v>
                </c:pt>
                <c:pt idx="82">
                  <c:v>2.523875436568312</c:v>
                </c:pt>
                <c:pt idx="83">
                  <c:v>3.3651672487577491</c:v>
                </c:pt>
                <c:pt idx="84">
                  <c:v>4.2064590609471875</c:v>
                </c:pt>
                <c:pt idx="85">
                  <c:v>5.0477508731366241</c:v>
                </c:pt>
                <c:pt idx="86">
                  <c:v>1.495629888336778</c:v>
                </c:pt>
                <c:pt idx="87">
                  <c:v>2.991259776673556</c:v>
                </c:pt>
                <c:pt idx="88">
                  <c:v>4.4868896650103327</c:v>
                </c:pt>
                <c:pt idx="89">
                  <c:v>5.9825195533471121</c:v>
                </c:pt>
                <c:pt idx="90">
                  <c:v>7.4781494416838887</c:v>
                </c:pt>
                <c:pt idx="91">
                  <c:v>8.9737793300206654</c:v>
                </c:pt>
                <c:pt idx="92">
                  <c:v>5.9825195533471121</c:v>
                </c:pt>
                <c:pt idx="93">
                  <c:v>11.965039106694224</c:v>
                </c:pt>
                <c:pt idx="94">
                  <c:v>17.947558660041331</c:v>
                </c:pt>
                <c:pt idx="95">
                  <c:v>23.930078213388448</c:v>
                </c:pt>
                <c:pt idx="96">
                  <c:v>0</c:v>
                </c:pt>
                <c:pt idx="97">
                  <c:v>7.0107651015786462E-2</c:v>
                </c:pt>
                <c:pt idx="98">
                  <c:v>0.14021530203157292</c:v>
                </c:pt>
                <c:pt idx="99">
                  <c:v>0.21032295304735932</c:v>
                </c:pt>
                <c:pt idx="100">
                  <c:v>0.28043060406314585</c:v>
                </c:pt>
                <c:pt idx="101">
                  <c:v>0.35053825507893233</c:v>
                </c:pt>
                <c:pt idx="102">
                  <c:v>0.42064590609471864</c:v>
                </c:pt>
                <c:pt idx="103">
                  <c:v>0.49075355711050517</c:v>
                </c:pt>
                <c:pt idx="104">
                  <c:v>0.5608612081262917</c:v>
                </c:pt>
                <c:pt idx="105">
                  <c:v>0.28043060406314585</c:v>
                </c:pt>
                <c:pt idx="106">
                  <c:v>0.5608612081262917</c:v>
                </c:pt>
                <c:pt idx="107">
                  <c:v>0.84129181218943727</c:v>
                </c:pt>
                <c:pt idx="108">
                  <c:v>1.1217224162525834</c:v>
                </c:pt>
                <c:pt idx="109">
                  <c:v>1.4021530203157293</c:v>
                </c:pt>
                <c:pt idx="110">
                  <c:v>1.6825836243788745</c:v>
                </c:pt>
                <c:pt idx="111">
                  <c:v>1.9630142284420207</c:v>
                </c:pt>
                <c:pt idx="112">
                  <c:v>0.6309688591420779</c:v>
                </c:pt>
                <c:pt idx="113">
                  <c:v>1.2619377182841558</c:v>
                </c:pt>
                <c:pt idx="114">
                  <c:v>1.8929065774262341</c:v>
                </c:pt>
                <c:pt idx="115">
                  <c:v>2.5238754365683116</c:v>
                </c:pt>
                <c:pt idx="116">
                  <c:v>3.154844295710391</c:v>
                </c:pt>
                <c:pt idx="117">
                  <c:v>3.7858131548524683</c:v>
                </c:pt>
                <c:pt idx="118">
                  <c:v>1.1217224162525834</c:v>
                </c:pt>
                <c:pt idx="119">
                  <c:v>2.2434448325051668</c:v>
                </c:pt>
                <c:pt idx="120">
                  <c:v>3.3651672487577491</c:v>
                </c:pt>
                <c:pt idx="121">
                  <c:v>4.4868896650103336</c:v>
                </c:pt>
                <c:pt idx="122">
                  <c:v>5.6086120812629172</c:v>
                </c:pt>
                <c:pt idx="123">
                  <c:v>6.7303344975154982</c:v>
                </c:pt>
                <c:pt idx="124">
                  <c:v>4.4868896650103336</c:v>
                </c:pt>
                <c:pt idx="125">
                  <c:v>8.9737793300206672</c:v>
                </c:pt>
                <c:pt idx="126">
                  <c:v>13.460668995030996</c:v>
                </c:pt>
                <c:pt idx="127">
                  <c:v>17.947558660041334</c:v>
                </c:pt>
                <c:pt idx="128">
                  <c:v>0</c:v>
                </c:pt>
                <c:pt idx="129">
                  <c:v>5.6086120812629175E-2</c:v>
                </c:pt>
                <c:pt idx="130">
                  <c:v>0.11217224162525835</c:v>
                </c:pt>
                <c:pt idx="131">
                  <c:v>0.16825836243788747</c:v>
                </c:pt>
                <c:pt idx="132">
                  <c:v>0.2243444832505167</c:v>
                </c:pt>
                <c:pt idx="133">
                  <c:v>0.28043060406314585</c:v>
                </c:pt>
                <c:pt idx="134">
                  <c:v>0.33651672487577494</c:v>
                </c:pt>
                <c:pt idx="135">
                  <c:v>0.39260284568840409</c:v>
                </c:pt>
                <c:pt idx="136">
                  <c:v>0.4486889665010334</c:v>
                </c:pt>
                <c:pt idx="137">
                  <c:v>0.2243444832505167</c:v>
                </c:pt>
                <c:pt idx="138">
                  <c:v>0.4486889665010334</c:v>
                </c:pt>
                <c:pt idx="139">
                  <c:v>0.67303344975154988</c:v>
                </c:pt>
                <c:pt idx="140">
                  <c:v>0.89737793300206681</c:v>
                </c:pt>
                <c:pt idx="141">
                  <c:v>1.1217224162525834</c:v>
                </c:pt>
                <c:pt idx="142">
                  <c:v>1.3460668995030998</c:v>
                </c:pt>
                <c:pt idx="143">
                  <c:v>1.5704113827536164</c:v>
                </c:pt>
                <c:pt idx="144">
                  <c:v>0.50477508731366239</c:v>
                </c:pt>
                <c:pt idx="145">
                  <c:v>1.0095501746273248</c:v>
                </c:pt>
                <c:pt idx="146">
                  <c:v>1.5143252619409873</c:v>
                </c:pt>
                <c:pt idx="147">
                  <c:v>2.0191003492546495</c:v>
                </c:pt>
                <c:pt idx="148">
                  <c:v>2.5238754365683125</c:v>
                </c:pt>
                <c:pt idx="149">
                  <c:v>3.0286505238819745</c:v>
                </c:pt>
                <c:pt idx="150">
                  <c:v>0.89737793300206681</c:v>
                </c:pt>
                <c:pt idx="151">
                  <c:v>1.7947558660041336</c:v>
                </c:pt>
                <c:pt idx="152">
                  <c:v>2.6921337990061995</c:v>
                </c:pt>
                <c:pt idx="153">
                  <c:v>3.5895117320082672</c:v>
                </c:pt>
                <c:pt idx="154">
                  <c:v>4.4868896650103336</c:v>
                </c:pt>
                <c:pt idx="155">
                  <c:v>5.3842675980123991</c:v>
                </c:pt>
                <c:pt idx="156">
                  <c:v>3.5895117320082672</c:v>
                </c:pt>
                <c:pt idx="157">
                  <c:v>7.1790234640165345</c:v>
                </c:pt>
                <c:pt idx="158">
                  <c:v>10.768535196024798</c:v>
                </c:pt>
                <c:pt idx="159">
                  <c:v>14.358046928033069</c:v>
                </c:pt>
              </c:numCache>
            </c:numRef>
          </c:xVal>
          <c:yVal>
            <c:numRef>
              <c:f>Sheet1!$S$3:$S$162</c:f>
              <c:numCache>
                <c:formatCode>0.0</c:formatCode>
                <c:ptCount val="160"/>
                <c:pt idx="0">
                  <c:v>12</c:v>
                </c:pt>
                <c:pt idx="1">
                  <c:v>13</c:v>
                </c:pt>
                <c:pt idx="2">
                  <c:v>12.333333333333334</c:v>
                </c:pt>
                <c:pt idx="3">
                  <c:v>11.333333333333334</c:v>
                </c:pt>
                <c:pt idx="4">
                  <c:v>11.666666666666666</c:v>
                </c:pt>
                <c:pt idx="5">
                  <c:v>11</c:v>
                </c:pt>
                <c:pt idx="6">
                  <c:v>10.666666666666666</c:v>
                </c:pt>
                <c:pt idx="7">
                  <c:v>14.666666666666666</c:v>
                </c:pt>
                <c:pt idx="8">
                  <c:v>14</c:v>
                </c:pt>
                <c:pt idx="9">
                  <c:v>28.333333333333332</c:v>
                </c:pt>
                <c:pt idx="10">
                  <c:v>63</c:v>
                </c:pt>
                <c:pt idx="11">
                  <c:v>90</c:v>
                </c:pt>
                <c:pt idx="12">
                  <c:v>71</c:v>
                </c:pt>
                <c:pt idx="13">
                  <c:v>46.666666666666664</c:v>
                </c:pt>
                <c:pt idx="14">
                  <c:v>43.666666666666664</c:v>
                </c:pt>
                <c:pt idx="15">
                  <c:v>57.666666666666664</c:v>
                </c:pt>
                <c:pt idx="16">
                  <c:v>40.666666666666664</c:v>
                </c:pt>
                <c:pt idx="17">
                  <c:v>66.333333333333329</c:v>
                </c:pt>
                <c:pt idx="18">
                  <c:v>39</c:v>
                </c:pt>
                <c:pt idx="19">
                  <c:v>25.666666666666668</c:v>
                </c:pt>
                <c:pt idx="20">
                  <c:v>19.666666666666668</c:v>
                </c:pt>
                <c:pt idx="21">
                  <c:v>26.333333333333332</c:v>
                </c:pt>
                <c:pt idx="22">
                  <c:v>54.666666666666664</c:v>
                </c:pt>
                <c:pt idx="23">
                  <c:v>33.666666666666664</c:v>
                </c:pt>
                <c:pt idx="24">
                  <c:v>22.333333333333332</c:v>
                </c:pt>
                <c:pt idx="25">
                  <c:v>16</c:v>
                </c:pt>
                <c:pt idx="26">
                  <c:v>13.666666666666666</c:v>
                </c:pt>
                <c:pt idx="27">
                  <c:v>15</c:v>
                </c:pt>
                <c:pt idx="28">
                  <c:v>13.333333333333334</c:v>
                </c:pt>
                <c:pt idx="29">
                  <c:v>9</c:v>
                </c:pt>
                <c:pt idx="30">
                  <c:v>7.666666666666667</c:v>
                </c:pt>
                <c:pt idx="31">
                  <c:v>6.666666666666667</c:v>
                </c:pt>
                <c:pt idx="32">
                  <c:v>12.666666666666666</c:v>
                </c:pt>
                <c:pt idx="33">
                  <c:v>10.666666666666666</c:v>
                </c:pt>
                <c:pt idx="34">
                  <c:v>12.666666666666666</c:v>
                </c:pt>
                <c:pt idx="35">
                  <c:v>11</c:v>
                </c:pt>
                <c:pt idx="36">
                  <c:v>13</c:v>
                </c:pt>
                <c:pt idx="37">
                  <c:v>13</c:v>
                </c:pt>
                <c:pt idx="38">
                  <c:v>13.666666666666666</c:v>
                </c:pt>
                <c:pt idx="39">
                  <c:v>16</c:v>
                </c:pt>
                <c:pt idx="40">
                  <c:v>16</c:v>
                </c:pt>
                <c:pt idx="41">
                  <c:v>28</c:v>
                </c:pt>
                <c:pt idx="42">
                  <c:v>47</c:v>
                </c:pt>
                <c:pt idx="43">
                  <c:v>97.333333333333329</c:v>
                </c:pt>
                <c:pt idx="44">
                  <c:v>85.666666666666671</c:v>
                </c:pt>
                <c:pt idx="45">
                  <c:v>60.666666666666664</c:v>
                </c:pt>
                <c:pt idx="46">
                  <c:v>59</c:v>
                </c:pt>
                <c:pt idx="47">
                  <c:v>65.666666666666671</c:v>
                </c:pt>
                <c:pt idx="48">
                  <c:v>32</c:v>
                </c:pt>
                <c:pt idx="49">
                  <c:v>67.333333333333329</c:v>
                </c:pt>
                <c:pt idx="50">
                  <c:v>54</c:v>
                </c:pt>
                <c:pt idx="51">
                  <c:v>42.666666666666664</c:v>
                </c:pt>
                <c:pt idx="52">
                  <c:v>32.333333333333336</c:v>
                </c:pt>
                <c:pt idx="53">
                  <c:v>38</c:v>
                </c:pt>
                <c:pt idx="54">
                  <c:v>41.666666666666664</c:v>
                </c:pt>
                <c:pt idx="55">
                  <c:v>39</c:v>
                </c:pt>
                <c:pt idx="56">
                  <c:v>37.666666666666664</c:v>
                </c:pt>
                <c:pt idx="57">
                  <c:v>23.333333333333332</c:v>
                </c:pt>
                <c:pt idx="58">
                  <c:v>20.666666666666668</c:v>
                </c:pt>
                <c:pt idx="59">
                  <c:v>21</c:v>
                </c:pt>
                <c:pt idx="60">
                  <c:v>20</c:v>
                </c:pt>
                <c:pt idx="61">
                  <c:v>15.333333333333334</c:v>
                </c:pt>
                <c:pt idx="62">
                  <c:v>11.333333333333334</c:v>
                </c:pt>
                <c:pt idx="63">
                  <c:v>10.333333333333334</c:v>
                </c:pt>
                <c:pt idx="64">
                  <c:v>15</c:v>
                </c:pt>
                <c:pt idx="65">
                  <c:v>14.666666666666666</c:v>
                </c:pt>
                <c:pt idx="66">
                  <c:v>15</c:v>
                </c:pt>
                <c:pt idx="67">
                  <c:v>12.666666666666666</c:v>
                </c:pt>
                <c:pt idx="68">
                  <c:v>15</c:v>
                </c:pt>
                <c:pt idx="69">
                  <c:v>22.666666666666668</c:v>
                </c:pt>
                <c:pt idx="70">
                  <c:v>15.333333333333334</c:v>
                </c:pt>
                <c:pt idx="71">
                  <c:v>19.333333333333332</c:v>
                </c:pt>
                <c:pt idx="72">
                  <c:v>17.666666666666668</c:v>
                </c:pt>
                <c:pt idx="73">
                  <c:v>23.666666666666668</c:v>
                </c:pt>
                <c:pt idx="74">
                  <c:v>37</c:v>
                </c:pt>
                <c:pt idx="75">
                  <c:v>64.666666666666671</c:v>
                </c:pt>
                <c:pt idx="76">
                  <c:v>89.666666666666671</c:v>
                </c:pt>
                <c:pt idx="77">
                  <c:v>94.666666666666671</c:v>
                </c:pt>
                <c:pt idx="78">
                  <c:v>92.666666666666671</c:v>
                </c:pt>
                <c:pt idx="79">
                  <c:v>59.333333333333336</c:v>
                </c:pt>
                <c:pt idx="80">
                  <c:v>23.333333333333332</c:v>
                </c:pt>
                <c:pt idx="81">
                  <c:v>65</c:v>
                </c:pt>
                <c:pt idx="82">
                  <c:v>61</c:v>
                </c:pt>
                <c:pt idx="83">
                  <c:v>52.666666666666664</c:v>
                </c:pt>
                <c:pt idx="84">
                  <c:v>45.333333333333336</c:v>
                </c:pt>
                <c:pt idx="85">
                  <c:v>40.333333333333336</c:v>
                </c:pt>
                <c:pt idx="86">
                  <c:v>30</c:v>
                </c:pt>
                <c:pt idx="87">
                  <c:v>31.666666666666668</c:v>
                </c:pt>
                <c:pt idx="88">
                  <c:v>44</c:v>
                </c:pt>
                <c:pt idx="89">
                  <c:v>33.666666666666664</c:v>
                </c:pt>
                <c:pt idx="90">
                  <c:v>30.666666666666668</c:v>
                </c:pt>
                <c:pt idx="91">
                  <c:v>27.333333333333332</c:v>
                </c:pt>
                <c:pt idx="92">
                  <c:v>26.333333333333332</c:v>
                </c:pt>
                <c:pt idx="93">
                  <c:v>20.333333333333332</c:v>
                </c:pt>
                <c:pt idx="94">
                  <c:v>16</c:v>
                </c:pt>
                <c:pt idx="95">
                  <c:v>14.333333333333334</c:v>
                </c:pt>
                <c:pt idx="96">
                  <c:v>12.666666666666666</c:v>
                </c:pt>
                <c:pt idx="97">
                  <c:v>13.666666666666666</c:v>
                </c:pt>
                <c:pt idx="98">
                  <c:v>12</c:v>
                </c:pt>
                <c:pt idx="99">
                  <c:v>14</c:v>
                </c:pt>
                <c:pt idx="100">
                  <c:v>12</c:v>
                </c:pt>
                <c:pt idx="101">
                  <c:v>13.5</c:v>
                </c:pt>
                <c:pt idx="102">
                  <c:v>12</c:v>
                </c:pt>
                <c:pt idx="103">
                  <c:v>12</c:v>
                </c:pt>
                <c:pt idx="104">
                  <c:v>11.333333333333334</c:v>
                </c:pt>
                <c:pt idx="105">
                  <c:v>22</c:v>
                </c:pt>
                <c:pt idx="106">
                  <c:v>35</c:v>
                </c:pt>
                <c:pt idx="107">
                  <c:v>71.666666666666671</c:v>
                </c:pt>
                <c:pt idx="108">
                  <c:v>68.333333333333329</c:v>
                </c:pt>
                <c:pt idx="109">
                  <c:v>88.666666666666671</c:v>
                </c:pt>
                <c:pt idx="110">
                  <c:v>84</c:v>
                </c:pt>
                <c:pt idx="111">
                  <c:v>94.666666666666671</c:v>
                </c:pt>
                <c:pt idx="112">
                  <c:v>18.666666666666668</c:v>
                </c:pt>
                <c:pt idx="113">
                  <c:v>48.333333333333336</c:v>
                </c:pt>
                <c:pt idx="114">
                  <c:v>57.666666666666664</c:v>
                </c:pt>
                <c:pt idx="115">
                  <c:v>63.666666666666664</c:v>
                </c:pt>
                <c:pt idx="116">
                  <c:v>54</c:v>
                </c:pt>
                <c:pt idx="117">
                  <c:v>54.666666666666664</c:v>
                </c:pt>
                <c:pt idx="118">
                  <c:v>26</c:v>
                </c:pt>
                <c:pt idx="119">
                  <c:v>43</c:v>
                </c:pt>
                <c:pt idx="120">
                  <c:v>50.666666666666664</c:v>
                </c:pt>
                <c:pt idx="121">
                  <c:v>37</c:v>
                </c:pt>
                <c:pt idx="122">
                  <c:v>32.333333333333336</c:v>
                </c:pt>
                <c:pt idx="123">
                  <c:v>31.666666666666668</c:v>
                </c:pt>
                <c:pt idx="124">
                  <c:v>30.666666666666668</c:v>
                </c:pt>
                <c:pt idx="125">
                  <c:v>23.666666666666668</c:v>
                </c:pt>
                <c:pt idx="126">
                  <c:v>17.666666666666668</c:v>
                </c:pt>
                <c:pt idx="127">
                  <c:v>16.333333333333332</c:v>
                </c:pt>
                <c:pt idx="128">
                  <c:v>7.666666666666667</c:v>
                </c:pt>
                <c:pt idx="129">
                  <c:v>11</c:v>
                </c:pt>
                <c:pt idx="130">
                  <c:v>12.666666666666666</c:v>
                </c:pt>
                <c:pt idx="131">
                  <c:v>13.666666666666666</c:v>
                </c:pt>
                <c:pt idx="132">
                  <c:v>17.666666666666668</c:v>
                </c:pt>
                <c:pt idx="133">
                  <c:v>13</c:v>
                </c:pt>
                <c:pt idx="134">
                  <c:v>11.5</c:v>
                </c:pt>
                <c:pt idx="135">
                  <c:v>8.6666666666666661</c:v>
                </c:pt>
                <c:pt idx="136">
                  <c:v>8</c:v>
                </c:pt>
                <c:pt idx="137">
                  <c:v>20.666666666666668</c:v>
                </c:pt>
                <c:pt idx="138">
                  <c:v>26</c:v>
                </c:pt>
                <c:pt idx="139">
                  <c:v>42.333333333333336</c:v>
                </c:pt>
                <c:pt idx="140">
                  <c:v>87.333333333333329</c:v>
                </c:pt>
                <c:pt idx="141">
                  <c:v>96.666666666666671</c:v>
                </c:pt>
                <c:pt idx="142">
                  <c:v>100.66666666666667</c:v>
                </c:pt>
                <c:pt idx="143">
                  <c:v>86.666666666666671</c:v>
                </c:pt>
                <c:pt idx="144">
                  <c:v>19.333333333333332</c:v>
                </c:pt>
                <c:pt idx="145">
                  <c:v>50.333333333333336</c:v>
                </c:pt>
                <c:pt idx="146">
                  <c:v>61.666666666666664</c:v>
                </c:pt>
                <c:pt idx="147">
                  <c:v>69.333333333333329</c:v>
                </c:pt>
                <c:pt idx="148">
                  <c:v>60.333333333333336</c:v>
                </c:pt>
                <c:pt idx="149">
                  <c:v>58</c:v>
                </c:pt>
                <c:pt idx="150">
                  <c:v>23</c:v>
                </c:pt>
                <c:pt idx="151">
                  <c:v>47.333333333333336</c:v>
                </c:pt>
                <c:pt idx="152">
                  <c:v>56.666666666666664</c:v>
                </c:pt>
                <c:pt idx="153">
                  <c:v>44</c:v>
                </c:pt>
                <c:pt idx="154">
                  <c:v>39.666666666666664</c:v>
                </c:pt>
                <c:pt idx="155">
                  <c:v>39</c:v>
                </c:pt>
                <c:pt idx="156">
                  <c:v>30.333333333333332</c:v>
                </c:pt>
                <c:pt idx="157">
                  <c:v>27.666666666666668</c:v>
                </c:pt>
                <c:pt idx="158">
                  <c:v>23</c:v>
                </c:pt>
                <c:pt idx="15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F-0446-AA23-441B9801F0FA}"/>
            </c:ext>
          </c:extLst>
        </c:ser>
        <c:ser>
          <c:idx val="1"/>
          <c:order val="1"/>
          <c:tx>
            <c:v>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Sheet1!$M$163:$M$215</c:f>
              <c:numCache>
                <c:formatCode>0</c:formatCode>
                <c:ptCount val="53"/>
                <c:pt idx="0">
                  <c:v>0</c:v>
                </c:pt>
                <c:pt idx="1">
                  <c:v>0.20902063121884096</c:v>
                </c:pt>
                <c:pt idx="2">
                  <c:v>0.41804126243768192</c:v>
                </c:pt>
                <c:pt idx="3">
                  <c:v>0.62706189365652276</c:v>
                </c:pt>
                <c:pt idx="4">
                  <c:v>0.83608252487536383</c:v>
                </c:pt>
                <c:pt idx="5">
                  <c:v>1.0451031560942048</c:v>
                </c:pt>
                <c:pt idx="6">
                  <c:v>0.83608252487536383</c:v>
                </c:pt>
                <c:pt idx="7">
                  <c:v>1.6721650497507277</c:v>
                </c:pt>
                <c:pt idx="8">
                  <c:v>2.508247574626091</c:v>
                </c:pt>
                <c:pt idx="9">
                  <c:v>3.3443300995014553</c:v>
                </c:pt>
                <c:pt idx="10">
                  <c:v>4.1804126243768192</c:v>
                </c:pt>
                <c:pt idx="11">
                  <c:v>1.881185680969568</c:v>
                </c:pt>
                <c:pt idx="12">
                  <c:v>3.7623713619391359</c:v>
                </c:pt>
                <c:pt idx="13">
                  <c:v>5.6435570429087045</c:v>
                </c:pt>
                <c:pt idx="14">
                  <c:v>7.5247427238782718</c:v>
                </c:pt>
                <c:pt idx="15">
                  <c:v>9.4059284048478435</c:v>
                </c:pt>
                <c:pt idx="16">
                  <c:v>3.3443300995014553</c:v>
                </c:pt>
                <c:pt idx="17">
                  <c:v>6.6886601990029106</c:v>
                </c:pt>
                <c:pt idx="18">
                  <c:v>10.032990298504364</c:v>
                </c:pt>
                <c:pt idx="19">
                  <c:v>13.377320398005821</c:v>
                </c:pt>
                <c:pt idx="20">
                  <c:v>16.721650497507277</c:v>
                </c:pt>
                <c:pt idx="21">
                  <c:v>13.377320398005821</c:v>
                </c:pt>
                <c:pt idx="22">
                  <c:v>26.754640796011643</c:v>
                </c:pt>
                <c:pt idx="23">
                  <c:v>40.131961194017457</c:v>
                </c:pt>
                <c:pt idx="24">
                  <c:v>53.509281592023285</c:v>
                </c:pt>
                <c:pt idx="25">
                  <c:v>0</c:v>
                </c:pt>
                <c:pt idx="26">
                  <c:v>4.180412624376819E-2</c:v>
                </c:pt>
                <c:pt idx="27">
                  <c:v>8.360825248753638E-2</c:v>
                </c:pt>
                <c:pt idx="28">
                  <c:v>0.12541237873130456</c:v>
                </c:pt>
                <c:pt idx="29">
                  <c:v>0.16721650497507276</c:v>
                </c:pt>
                <c:pt idx="30">
                  <c:v>0.20902063121884093</c:v>
                </c:pt>
                <c:pt idx="31">
                  <c:v>0.16721650497507276</c:v>
                </c:pt>
                <c:pt idx="32">
                  <c:v>0.33443300995014552</c:v>
                </c:pt>
                <c:pt idx="33">
                  <c:v>0.50164951492521825</c:v>
                </c:pt>
                <c:pt idx="34">
                  <c:v>0.66886601990029104</c:v>
                </c:pt>
                <c:pt idx="35">
                  <c:v>0.83608252487536372</c:v>
                </c:pt>
                <c:pt idx="36">
                  <c:v>1.0032990298504365</c:v>
                </c:pt>
                <c:pt idx="37">
                  <c:v>1.1705155348255092</c:v>
                </c:pt>
                <c:pt idx="38">
                  <c:v>0.37623713619391358</c:v>
                </c:pt>
                <c:pt idx="39">
                  <c:v>0.75247427238782716</c:v>
                </c:pt>
                <c:pt idx="40">
                  <c:v>1.1287114085817409</c:v>
                </c:pt>
                <c:pt idx="41">
                  <c:v>1.5049485447756543</c:v>
                </c:pt>
                <c:pt idx="42">
                  <c:v>1.8811856809695686</c:v>
                </c:pt>
                <c:pt idx="43">
                  <c:v>2.2574228171634818</c:v>
                </c:pt>
                <c:pt idx="44">
                  <c:v>0.66886601990029104</c:v>
                </c:pt>
                <c:pt idx="45">
                  <c:v>1.3377320398005821</c:v>
                </c:pt>
                <c:pt idx="46">
                  <c:v>2.006598059700873</c:v>
                </c:pt>
                <c:pt idx="47">
                  <c:v>2.6754640796011642</c:v>
                </c:pt>
                <c:pt idx="48">
                  <c:v>3.3443300995014549</c:v>
                </c:pt>
                <c:pt idx="49">
                  <c:v>2.6754640796011642</c:v>
                </c:pt>
                <c:pt idx="50">
                  <c:v>5.3509281592023283</c:v>
                </c:pt>
                <c:pt idx="51">
                  <c:v>8.0263922388034921</c:v>
                </c:pt>
                <c:pt idx="52">
                  <c:v>10.701856318404657</c:v>
                </c:pt>
              </c:numCache>
            </c:numRef>
          </c:xVal>
          <c:yVal>
            <c:numRef>
              <c:f>Sheet1!$S$163:$S$215</c:f>
              <c:numCache>
                <c:formatCode>0.0</c:formatCode>
                <c:ptCount val="53"/>
                <c:pt idx="0">
                  <c:v>14.5</c:v>
                </c:pt>
                <c:pt idx="1">
                  <c:v>15</c:v>
                </c:pt>
                <c:pt idx="2">
                  <c:v>14</c:v>
                </c:pt>
                <c:pt idx="3">
                  <c:v>14</c:v>
                </c:pt>
                <c:pt idx="4">
                  <c:v>13.5</c:v>
                </c:pt>
                <c:pt idx="5">
                  <c:v>13</c:v>
                </c:pt>
                <c:pt idx="6">
                  <c:v>35</c:v>
                </c:pt>
                <c:pt idx="7">
                  <c:v>79.333333333333329</c:v>
                </c:pt>
                <c:pt idx="8">
                  <c:v>82.333333333333329</c:v>
                </c:pt>
                <c:pt idx="9">
                  <c:v>71.333333333333329</c:v>
                </c:pt>
                <c:pt idx="10">
                  <c:v>51.333333333333336</c:v>
                </c:pt>
                <c:pt idx="11">
                  <c:v>53</c:v>
                </c:pt>
                <c:pt idx="12">
                  <c:v>88.666666666666671</c:v>
                </c:pt>
                <c:pt idx="13">
                  <c:v>65.333333333333329</c:v>
                </c:pt>
                <c:pt idx="14">
                  <c:v>45.333333333333336</c:v>
                </c:pt>
                <c:pt idx="15">
                  <c:v>40.666666666666664</c:v>
                </c:pt>
                <c:pt idx="16">
                  <c:v>69</c:v>
                </c:pt>
                <c:pt idx="17">
                  <c:v>95.333333333333329</c:v>
                </c:pt>
                <c:pt idx="18">
                  <c:v>34</c:v>
                </c:pt>
                <c:pt idx="19">
                  <c:v>15.333333333333334</c:v>
                </c:pt>
                <c:pt idx="20">
                  <c:v>13.666666666666666</c:v>
                </c:pt>
                <c:pt idx="21">
                  <c:v>14</c:v>
                </c:pt>
                <c:pt idx="22">
                  <c:v>9</c:v>
                </c:pt>
                <c:pt idx="23">
                  <c:v>6.5</c:v>
                </c:pt>
                <c:pt idx="24">
                  <c:v>6.5</c:v>
                </c:pt>
                <c:pt idx="25">
                  <c:v>13.333333333333334</c:v>
                </c:pt>
                <c:pt idx="26">
                  <c:v>15</c:v>
                </c:pt>
                <c:pt idx="27">
                  <c:v>16.666666666666668</c:v>
                </c:pt>
                <c:pt idx="28">
                  <c:v>17.333333333333332</c:v>
                </c:pt>
                <c:pt idx="29">
                  <c:v>15</c:v>
                </c:pt>
                <c:pt idx="30">
                  <c:v>13</c:v>
                </c:pt>
                <c:pt idx="31">
                  <c:v>21.333333333333332</c:v>
                </c:pt>
                <c:pt idx="32">
                  <c:v>40</c:v>
                </c:pt>
                <c:pt idx="33">
                  <c:v>39</c:v>
                </c:pt>
                <c:pt idx="34">
                  <c:v>69.666666666666671</c:v>
                </c:pt>
                <c:pt idx="35">
                  <c:v>83.333333333333329</c:v>
                </c:pt>
                <c:pt idx="36">
                  <c:v>65.666666666666671</c:v>
                </c:pt>
                <c:pt idx="37">
                  <c:v>36</c:v>
                </c:pt>
                <c:pt idx="38">
                  <c:v>26</c:v>
                </c:pt>
                <c:pt idx="39">
                  <c:v>62.333333333333336</c:v>
                </c:pt>
                <c:pt idx="40">
                  <c:v>83.333333333333329</c:v>
                </c:pt>
                <c:pt idx="41">
                  <c:v>72.666666666666671</c:v>
                </c:pt>
                <c:pt idx="42">
                  <c:v>74.666666666666671</c:v>
                </c:pt>
                <c:pt idx="43">
                  <c:v>75</c:v>
                </c:pt>
                <c:pt idx="44">
                  <c:v>29</c:v>
                </c:pt>
                <c:pt idx="45">
                  <c:v>75</c:v>
                </c:pt>
                <c:pt idx="46">
                  <c:v>80.333333333333329</c:v>
                </c:pt>
                <c:pt idx="47">
                  <c:v>65.666666666666671</c:v>
                </c:pt>
                <c:pt idx="48">
                  <c:v>55.666666666666664</c:v>
                </c:pt>
                <c:pt idx="49">
                  <c:v>28</c:v>
                </c:pt>
                <c:pt idx="50">
                  <c:v>29</c:v>
                </c:pt>
                <c:pt idx="51">
                  <c:v>23</c:v>
                </c:pt>
                <c:pt idx="52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5F-0446-AA23-441B9801F0FA}"/>
            </c:ext>
          </c:extLst>
        </c:ser>
        <c:ser>
          <c:idx val="2"/>
          <c:order val="2"/>
          <c:tx>
            <c:v>R3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Sheet1!$M$216:$M$269</c:f>
              <c:numCache>
                <c:formatCode>0</c:formatCode>
                <c:ptCount val="54"/>
                <c:pt idx="0">
                  <c:v>0</c:v>
                </c:pt>
                <c:pt idx="1">
                  <c:v>0.17391567772831845</c:v>
                </c:pt>
                <c:pt idx="2">
                  <c:v>0.3478313554566369</c:v>
                </c:pt>
                <c:pt idx="3">
                  <c:v>0.52174703318495541</c:v>
                </c:pt>
                <c:pt idx="4">
                  <c:v>0.69566271091327381</c:v>
                </c:pt>
                <c:pt idx="5">
                  <c:v>0.8695783886415922</c:v>
                </c:pt>
                <c:pt idx="6">
                  <c:v>0.69566271091327381</c:v>
                </c:pt>
                <c:pt idx="7">
                  <c:v>1.3913254218265476</c:v>
                </c:pt>
                <c:pt idx="8">
                  <c:v>2.0869881327398216</c:v>
                </c:pt>
                <c:pt idx="9">
                  <c:v>2.7826508436530952</c:v>
                </c:pt>
                <c:pt idx="10">
                  <c:v>3.4783135545663688</c:v>
                </c:pt>
                <c:pt idx="11">
                  <c:v>4.1739762654796433</c:v>
                </c:pt>
                <c:pt idx="12">
                  <c:v>1.5652410995548662</c:v>
                </c:pt>
                <c:pt idx="13">
                  <c:v>3.1304821991097325</c:v>
                </c:pt>
                <c:pt idx="14">
                  <c:v>4.695723298664598</c:v>
                </c:pt>
                <c:pt idx="15">
                  <c:v>6.2609643982194649</c:v>
                </c:pt>
                <c:pt idx="16">
                  <c:v>7.8262054977743318</c:v>
                </c:pt>
                <c:pt idx="17">
                  <c:v>2.7826508436530952</c:v>
                </c:pt>
                <c:pt idx="18">
                  <c:v>5.5653016873061905</c:v>
                </c:pt>
                <c:pt idx="19">
                  <c:v>8.3479525309592866</c:v>
                </c:pt>
                <c:pt idx="20">
                  <c:v>11.130603374612381</c:v>
                </c:pt>
                <c:pt idx="21">
                  <c:v>13.913254218265475</c:v>
                </c:pt>
                <c:pt idx="22">
                  <c:v>11.130603374612381</c:v>
                </c:pt>
                <c:pt idx="23">
                  <c:v>22.261206749224762</c:v>
                </c:pt>
                <c:pt idx="24">
                  <c:v>33.391810123837146</c:v>
                </c:pt>
                <c:pt idx="25">
                  <c:v>44.522413498449524</c:v>
                </c:pt>
                <c:pt idx="26">
                  <c:v>0</c:v>
                </c:pt>
                <c:pt idx="27">
                  <c:v>3.4783135545663695E-2</c:v>
                </c:pt>
                <c:pt idx="28">
                  <c:v>6.9566271091327389E-2</c:v>
                </c:pt>
                <c:pt idx="29">
                  <c:v>0.10434940663699108</c:v>
                </c:pt>
                <c:pt idx="30">
                  <c:v>0.13913254218265478</c:v>
                </c:pt>
                <c:pt idx="31">
                  <c:v>0.17391567772831845</c:v>
                </c:pt>
                <c:pt idx="32">
                  <c:v>0.13913254218265478</c:v>
                </c:pt>
                <c:pt idx="33">
                  <c:v>0.27826508436530956</c:v>
                </c:pt>
                <c:pt idx="34">
                  <c:v>0.41739762654796431</c:v>
                </c:pt>
                <c:pt idx="35">
                  <c:v>0.55653016873061911</c:v>
                </c:pt>
                <c:pt idx="36">
                  <c:v>0.69566271091327381</c:v>
                </c:pt>
                <c:pt idx="37">
                  <c:v>0.83479525309592861</c:v>
                </c:pt>
                <c:pt idx="38">
                  <c:v>0.97392779527858342</c:v>
                </c:pt>
                <c:pt idx="39">
                  <c:v>0.31304821991097326</c:v>
                </c:pt>
                <c:pt idx="40">
                  <c:v>0.62609643982194652</c:v>
                </c:pt>
                <c:pt idx="41">
                  <c:v>0.93914465973291972</c:v>
                </c:pt>
                <c:pt idx="42">
                  <c:v>1.252192879643893</c:v>
                </c:pt>
                <c:pt idx="43">
                  <c:v>1.5652410995548665</c:v>
                </c:pt>
                <c:pt idx="44">
                  <c:v>1.8782893194658394</c:v>
                </c:pt>
                <c:pt idx="45">
                  <c:v>0.55653016873061911</c:v>
                </c:pt>
                <c:pt idx="46">
                  <c:v>1.1130603374612382</c:v>
                </c:pt>
                <c:pt idx="47">
                  <c:v>1.6695905061918572</c:v>
                </c:pt>
                <c:pt idx="48">
                  <c:v>2.2261206749224765</c:v>
                </c:pt>
                <c:pt idx="49">
                  <c:v>2.7826508436530952</c:v>
                </c:pt>
                <c:pt idx="50">
                  <c:v>0.86957838864159231</c:v>
                </c:pt>
                <c:pt idx="51">
                  <c:v>1.7391567772831846</c:v>
                </c:pt>
                <c:pt idx="52">
                  <c:v>2.6087351659247768</c:v>
                </c:pt>
                <c:pt idx="53">
                  <c:v>3.4783135545663693</c:v>
                </c:pt>
              </c:numCache>
            </c:numRef>
          </c:xVal>
          <c:yVal>
            <c:numRef>
              <c:f>Sheet1!$S$216:$S$269</c:f>
              <c:numCache>
                <c:formatCode>0.0</c:formatCode>
                <c:ptCount val="54"/>
                <c:pt idx="0">
                  <c:v>13.333333333333334</c:v>
                </c:pt>
                <c:pt idx="1">
                  <c:v>14.666666666666666</c:v>
                </c:pt>
                <c:pt idx="2">
                  <c:v>12.333333333333334</c:v>
                </c:pt>
                <c:pt idx="3">
                  <c:v>12</c:v>
                </c:pt>
                <c:pt idx="4">
                  <c:v>11.333333333333334</c:v>
                </c:pt>
                <c:pt idx="5">
                  <c:v>12</c:v>
                </c:pt>
                <c:pt idx="6">
                  <c:v>29.333333333333332</c:v>
                </c:pt>
                <c:pt idx="7">
                  <c:v>63</c:v>
                </c:pt>
                <c:pt idx="8">
                  <c:v>68</c:v>
                </c:pt>
                <c:pt idx="9">
                  <c:v>55</c:v>
                </c:pt>
                <c:pt idx="10">
                  <c:v>57.333333333333336</c:v>
                </c:pt>
                <c:pt idx="11">
                  <c:v>40.666666666666664</c:v>
                </c:pt>
                <c:pt idx="12">
                  <c:v>49</c:v>
                </c:pt>
                <c:pt idx="13">
                  <c:v>75</c:v>
                </c:pt>
                <c:pt idx="14">
                  <c:v>56</c:v>
                </c:pt>
                <c:pt idx="15">
                  <c:v>38.666666666666664</c:v>
                </c:pt>
                <c:pt idx="16">
                  <c:v>32.333333333333336</c:v>
                </c:pt>
                <c:pt idx="17">
                  <c:v>60</c:v>
                </c:pt>
                <c:pt idx="18">
                  <c:v>87.333333333333329</c:v>
                </c:pt>
                <c:pt idx="19">
                  <c:v>52.666666666666664</c:v>
                </c:pt>
                <c:pt idx="20">
                  <c:v>28.333333333333332</c:v>
                </c:pt>
                <c:pt idx="21">
                  <c:v>22.333333333333332</c:v>
                </c:pt>
                <c:pt idx="22">
                  <c:v>26.666666666666668</c:v>
                </c:pt>
                <c:pt idx="23">
                  <c:v>13.666666666666666</c:v>
                </c:pt>
                <c:pt idx="24">
                  <c:v>8.3333333333333339</c:v>
                </c:pt>
                <c:pt idx="25">
                  <c:v>7.333333333333333</c:v>
                </c:pt>
                <c:pt idx="26">
                  <c:v>22.333333333333332</c:v>
                </c:pt>
                <c:pt idx="27">
                  <c:v>27.333333333333332</c:v>
                </c:pt>
                <c:pt idx="28">
                  <c:v>22.333333333333332</c:v>
                </c:pt>
                <c:pt idx="29">
                  <c:v>25</c:v>
                </c:pt>
                <c:pt idx="30">
                  <c:v>22</c:v>
                </c:pt>
                <c:pt idx="31">
                  <c:v>18.666666666666668</c:v>
                </c:pt>
                <c:pt idx="32">
                  <c:v>18</c:v>
                </c:pt>
                <c:pt idx="33">
                  <c:v>33.333333333333336</c:v>
                </c:pt>
                <c:pt idx="34">
                  <c:v>40.666666666666664</c:v>
                </c:pt>
                <c:pt idx="35">
                  <c:v>47.333333333333336</c:v>
                </c:pt>
                <c:pt idx="36">
                  <c:v>56.333333333333336</c:v>
                </c:pt>
                <c:pt idx="37">
                  <c:v>46.333333333333336</c:v>
                </c:pt>
                <c:pt idx="38">
                  <c:v>32.333333333333336</c:v>
                </c:pt>
                <c:pt idx="39">
                  <c:v>21</c:v>
                </c:pt>
                <c:pt idx="40">
                  <c:v>50</c:v>
                </c:pt>
                <c:pt idx="41">
                  <c:v>71.333333333333329</c:v>
                </c:pt>
                <c:pt idx="42">
                  <c:v>77</c:v>
                </c:pt>
                <c:pt idx="43">
                  <c:v>79.333333333333329</c:v>
                </c:pt>
                <c:pt idx="44">
                  <c:v>76</c:v>
                </c:pt>
                <c:pt idx="45">
                  <c:v>23.333333333333332</c:v>
                </c:pt>
                <c:pt idx="46">
                  <c:v>56.666666666666664</c:v>
                </c:pt>
                <c:pt idx="47">
                  <c:v>74</c:v>
                </c:pt>
                <c:pt idx="48">
                  <c:v>71.666666666666671</c:v>
                </c:pt>
                <c:pt idx="49">
                  <c:v>55</c:v>
                </c:pt>
                <c:pt idx="50">
                  <c:v>34.666666666666664</c:v>
                </c:pt>
                <c:pt idx="51">
                  <c:v>34.666666666666664</c:v>
                </c:pt>
                <c:pt idx="52">
                  <c:v>27.666666666666668</c:v>
                </c:pt>
                <c:pt idx="53">
                  <c:v>22.666666666666668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5F-0446-AA23-441B9801F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77704"/>
        <c:axId val="715768096"/>
      </c:scatterChart>
      <c:valAx>
        <c:axId val="221177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100" b="0" i="0" baseline="0">
                    <a:effectLst/>
                  </a:rPr>
                  <a:t>De</a:t>
                </a:r>
                <a:r>
                  <a:rPr lang="en-GB" sz="1100" b="0" i="0" baseline="-25000">
                    <a:effectLst/>
                  </a:rPr>
                  <a:t>o</a:t>
                </a:r>
                <a:r>
                  <a:rPr lang="en-GB" sz="1100" b="0" i="0" baseline="0">
                    <a:effectLst/>
                  </a:rPr>
                  <a:t>(x</a:t>
                </a:r>
                <a:r>
                  <a:rPr lang="en-GB" sz="1100" b="0" i="0" baseline="-25000">
                    <a:effectLst/>
                  </a:rPr>
                  <a:t>o</a:t>
                </a:r>
                <a:r>
                  <a:rPr lang="en-GB" sz="1100" b="0" i="0" baseline="0">
                    <a:effectLst/>
                  </a:rPr>
                  <a:t>/R</a:t>
                </a:r>
                <a:r>
                  <a:rPr lang="en-GB" sz="1100" b="0" i="0" baseline="-25000">
                    <a:effectLst/>
                  </a:rPr>
                  <a:t>c</a:t>
                </a:r>
                <a:r>
                  <a:rPr lang="en-GB" sz="1100" b="0" i="0" baseline="0">
                    <a:effectLst/>
                  </a:rPr>
                  <a:t>)/Re</a:t>
                </a:r>
                <a:r>
                  <a:rPr lang="en-GB" sz="1100" b="0" i="0" baseline="-25000">
                    <a:effectLst/>
                  </a:rPr>
                  <a:t>n</a:t>
                </a:r>
                <a:endParaRPr lang="en-GB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5768096"/>
        <c:crosses val="autoZero"/>
        <c:crossBetween val="midCat"/>
      </c:valAx>
      <c:valAx>
        <c:axId val="715768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11777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876140482439694"/>
          <c:y val="7.5808544765237684E-2"/>
          <c:w val="7.0365485564304456E-2"/>
          <c:h val="0.2326421697287839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Tube</a:t>
            </a:r>
            <a:r>
              <a:rPr lang="en-GB" baseline="0"/>
              <a:t> </a:t>
            </a:r>
            <a:r>
              <a:rPr lang="en-GB"/>
              <a:t>Diameter</a:t>
            </a:r>
          </a:p>
        </c:rich>
      </c:tx>
      <c:layout>
        <c:manualLayout>
          <c:xMode val="edge"/>
          <c:yMode val="edge"/>
          <c:x val="0.41423280423280429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68691413573303"/>
          <c:y val="5.1342592592592592E-2"/>
          <c:w val="0.71097446152564248"/>
          <c:h val="0.73172098279381748"/>
        </c:manualLayout>
      </c:layout>
      <c:scatterChart>
        <c:scatterStyle val="lineMarker"/>
        <c:varyColors val="0"/>
        <c:ser>
          <c:idx val="0"/>
          <c:order val="0"/>
          <c:tx>
            <c:v>R1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Sheet1!$M$3:$M$162</c:f>
              <c:numCache>
                <c:formatCode>0</c:formatCode>
                <c:ptCount val="160"/>
                <c:pt idx="0">
                  <c:v>0</c:v>
                </c:pt>
                <c:pt idx="1">
                  <c:v>0.28043060406314585</c:v>
                </c:pt>
                <c:pt idx="2">
                  <c:v>0.5608612081262917</c:v>
                </c:pt>
                <c:pt idx="3">
                  <c:v>0.84129181218943727</c:v>
                </c:pt>
                <c:pt idx="4">
                  <c:v>1.1217224162525834</c:v>
                </c:pt>
                <c:pt idx="5">
                  <c:v>1.4021530203157293</c:v>
                </c:pt>
                <c:pt idx="6">
                  <c:v>1.6825836243788745</c:v>
                </c:pt>
                <c:pt idx="7">
                  <c:v>1.9630142284420207</c:v>
                </c:pt>
                <c:pt idx="8">
                  <c:v>2.2434448325051668</c:v>
                </c:pt>
                <c:pt idx="9">
                  <c:v>1.1217224162525834</c:v>
                </c:pt>
                <c:pt idx="10">
                  <c:v>2.2434448325051668</c:v>
                </c:pt>
                <c:pt idx="11">
                  <c:v>3.3651672487577491</c:v>
                </c:pt>
                <c:pt idx="12">
                  <c:v>4.4868896650103336</c:v>
                </c:pt>
                <c:pt idx="13">
                  <c:v>5.6086120812629172</c:v>
                </c:pt>
                <c:pt idx="14">
                  <c:v>6.7303344975154982</c:v>
                </c:pt>
                <c:pt idx="15">
                  <c:v>7.8520569137680827</c:v>
                </c:pt>
                <c:pt idx="16">
                  <c:v>2.5238754365683116</c:v>
                </c:pt>
                <c:pt idx="17">
                  <c:v>5.0477508731366232</c:v>
                </c:pt>
                <c:pt idx="18">
                  <c:v>7.5716263097049366</c:v>
                </c:pt>
                <c:pt idx="19">
                  <c:v>10.095501746273246</c:v>
                </c:pt>
                <c:pt idx="20">
                  <c:v>12.619377182841564</c:v>
                </c:pt>
                <c:pt idx="21">
                  <c:v>15.143252619409873</c:v>
                </c:pt>
                <c:pt idx="22">
                  <c:v>4.4868896650103336</c:v>
                </c:pt>
                <c:pt idx="23">
                  <c:v>8.9737793300206672</c:v>
                </c:pt>
                <c:pt idx="24">
                  <c:v>13.460668995030996</c:v>
                </c:pt>
                <c:pt idx="25">
                  <c:v>17.947558660041334</c:v>
                </c:pt>
                <c:pt idx="26">
                  <c:v>22.434448325051669</c:v>
                </c:pt>
                <c:pt idx="27">
                  <c:v>26.921337990061993</c:v>
                </c:pt>
                <c:pt idx="28">
                  <c:v>17.947558660041334</c:v>
                </c:pt>
                <c:pt idx="29">
                  <c:v>35.895117320082669</c:v>
                </c:pt>
                <c:pt idx="30">
                  <c:v>53.842675980123985</c:v>
                </c:pt>
                <c:pt idx="31">
                  <c:v>71.790234640165338</c:v>
                </c:pt>
                <c:pt idx="32">
                  <c:v>0</c:v>
                </c:pt>
                <c:pt idx="33">
                  <c:v>0.14021530203157292</c:v>
                </c:pt>
                <c:pt idx="34">
                  <c:v>0.28043060406314585</c:v>
                </c:pt>
                <c:pt idx="35">
                  <c:v>0.42064590609471864</c:v>
                </c:pt>
                <c:pt idx="36">
                  <c:v>0.5608612081262917</c:v>
                </c:pt>
                <c:pt idx="37">
                  <c:v>0.70107651015786465</c:v>
                </c:pt>
                <c:pt idx="38">
                  <c:v>0.84129181218943727</c:v>
                </c:pt>
                <c:pt idx="39">
                  <c:v>0.98150711422101033</c:v>
                </c:pt>
                <c:pt idx="40">
                  <c:v>1.1217224162525834</c:v>
                </c:pt>
                <c:pt idx="41">
                  <c:v>0.5608612081262917</c:v>
                </c:pt>
                <c:pt idx="42">
                  <c:v>1.1217224162525834</c:v>
                </c:pt>
                <c:pt idx="43">
                  <c:v>1.6825836243788745</c:v>
                </c:pt>
                <c:pt idx="44">
                  <c:v>2.2434448325051668</c:v>
                </c:pt>
                <c:pt idx="45">
                  <c:v>2.8043060406314586</c:v>
                </c:pt>
                <c:pt idx="46">
                  <c:v>3.3651672487577491</c:v>
                </c:pt>
                <c:pt idx="47">
                  <c:v>3.9260284568840413</c:v>
                </c:pt>
                <c:pt idx="48">
                  <c:v>1.2619377182841558</c:v>
                </c:pt>
                <c:pt idx="49">
                  <c:v>2.5238754365683116</c:v>
                </c:pt>
                <c:pt idx="50">
                  <c:v>3.7858131548524683</c:v>
                </c:pt>
                <c:pt idx="51">
                  <c:v>5.0477508731366232</c:v>
                </c:pt>
                <c:pt idx="52">
                  <c:v>6.3096885914207821</c:v>
                </c:pt>
                <c:pt idx="53">
                  <c:v>7.5716263097049366</c:v>
                </c:pt>
                <c:pt idx="54">
                  <c:v>2.2434448325051668</c:v>
                </c:pt>
                <c:pt idx="55">
                  <c:v>4.4868896650103336</c:v>
                </c:pt>
                <c:pt idx="56">
                  <c:v>6.7303344975154982</c:v>
                </c:pt>
                <c:pt idx="57">
                  <c:v>8.9737793300206672</c:v>
                </c:pt>
                <c:pt idx="58">
                  <c:v>11.217224162525834</c:v>
                </c:pt>
                <c:pt idx="59">
                  <c:v>13.460668995030996</c:v>
                </c:pt>
                <c:pt idx="60">
                  <c:v>8.9737793300206672</c:v>
                </c:pt>
                <c:pt idx="61">
                  <c:v>17.947558660041334</c:v>
                </c:pt>
                <c:pt idx="62">
                  <c:v>26.921337990061993</c:v>
                </c:pt>
                <c:pt idx="63">
                  <c:v>35.895117320082669</c:v>
                </c:pt>
                <c:pt idx="64">
                  <c:v>0</c:v>
                </c:pt>
                <c:pt idx="65">
                  <c:v>9.3476868021048626E-2</c:v>
                </c:pt>
                <c:pt idx="66">
                  <c:v>0.18695373604209725</c:v>
                </c:pt>
                <c:pt idx="67">
                  <c:v>0.28043060406314579</c:v>
                </c:pt>
                <c:pt idx="68">
                  <c:v>0.3739074720841945</c:v>
                </c:pt>
                <c:pt idx="69">
                  <c:v>0.46738434010524305</c:v>
                </c:pt>
                <c:pt idx="70">
                  <c:v>0.56086120812629159</c:v>
                </c:pt>
                <c:pt idx="71">
                  <c:v>0.65433807614734019</c:v>
                </c:pt>
                <c:pt idx="72">
                  <c:v>0.74781494416838901</c:v>
                </c:pt>
                <c:pt idx="73">
                  <c:v>0.3739074720841945</c:v>
                </c:pt>
                <c:pt idx="74">
                  <c:v>0.74781494416838901</c:v>
                </c:pt>
                <c:pt idx="75">
                  <c:v>1.1217224162525832</c:v>
                </c:pt>
                <c:pt idx="76">
                  <c:v>1.495629888336778</c:v>
                </c:pt>
                <c:pt idx="77">
                  <c:v>1.8695373604209722</c:v>
                </c:pt>
                <c:pt idx="78">
                  <c:v>2.2434448325051664</c:v>
                </c:pt>
                <c:pt idx="79">
                  <c:v>2.6173523045893607</c:v>
                </c:pt>
                <c:pt idx="80">
                  <c:v>0.84129181218943727</c:v>
                </c:pt>
                <c:pt idx="81">
                  <c:v>1.6825836243788745</c:v>
                </c:pt>
                <c:pt idx="82">
                  <c:v>2.523875436568312</c:v>
                </c:pt>
                <c:pt idx="83">
                  <c:v>3.3651672487577491</c:v>
                </c:pt>
                <c:pt idx="84">
                  <c:v>4.2064590609471875</c:v>
                </c:pt>
                <c:pt idx="85">
                  <c:v>5.0477508731366241</c:v>
                </c:pt>
                <c:pt idx="86">
                  <c:v>1.495629888336778</c:v>
                </c:pt>
                <c:pt idx="87">
                  <c:v>2.991259776673556</c:v>
                </c:pt>
                <c:pt idx="88">
                  <c:v>4.4868896650103327</c:v>
                </c:pt>
                <c:pt idx="89">
                  <c:v>5.9825195533471121</c:v>
                </c:pt>
                <c:pt idx="90">
                  <c:v>7.4781494416838887</c:v>
                </c:pt>
                <c:pt idx="91">
                  <c:v>8.9737793300206654</c:v>
                </c:pt>
                <c:pt idx="92">
                  <c:v>5.9825195533471121</c:v>
                </c:pt>
                <c:pt idx="93">
                  <c:v>11.965039106694224</c:v>
                </c:pt>
                <c:pt idx="94">
                  <c:v>17.947558660041331</c:v>
                </c:pt>
                <c:pt idx="95">
                  <c:v>23.930078213388448</c:v>
                </c:pt>
                <c:pt idx="96">
                  <c:v>0</c:v>
                </c:pt>
                <c:pt idx="97">
                  <c:v>7.0107651015786462E-2</c:v>
                </c:pt>
                <c:pt idx="98">
                  <c:v>0.14021530203157292</c:v>
                </c:pt>
                <c:pt idx="99">
                  <c:v>0.21032295304735932</c:v>
                </c:pt>
                <c:pt idx="100">
                  <c:v>0.28043060406314585</c:v>
                </c:pt>
                <c:pt idx="101">
                  <c:v>0.35053825507893233</c:v>
                </c:pt>
                <c:pt idx="102">
                  <c:v>0.42064590609471864</c:v>
                </c:pt>
                <c:pt idx="103">
                  <c:v>0.49075355711050517</c:v>
                </c:pt>
                <c:pt idx="104">
                  <c:v>0.5608612081262917</c:v>
                </c:pt>
                <c:pt idx="105">
                  <c:v>0.28043060406314585</c:v>
                </c:pt>
                <c:pt idx="106">
                  <c:v>0.5608612081262917</c:v>
                </c:pt>
                <c:pt idx="107">
                  <c:v>0.84129181218943727</c:v>
                </c:pt>
                <c:pt idx="108">
                  <c:v>1.1217224162525834</c:v>
                </c:pt>
                <c:pt idx="109">
                  <c:v>1.4021530203157293</c:v>
                </c:pt>
                <c:pt idx="110">
                  <c:v>1.6825836243788745</c:v>
                </c:pt>
                <c:pt idx="111">
                  <c:v>1.9630142284420207</c:v>
                </c:pt>
                <c:pt idx="112">
                  <c:v>0.6309688591420779</c:v>
                </c:pt>
                <c:pt idx="113">
                  <c:v>1.2619377182841558</c:v>
                </c:pt>
                <c:pt idx="114">
                  <c:v>1.8929065774262341</c:v>
                </c:pt>
                <c:pt idx="115">
                  <c:v>2.5238754365683116</c:v>
                </c:pt>
                <c:pt idx="116">
                  <c:v>3.154844295710391</c:v>
                </c:pt>
                <c:pt idx="117">
                  <c:v>3.7858131548524683</c:v>
                </c:pt>
                <c:pt idx="118">
                  <c:v>1.1217224162525834</c:v>
                </c:pt>
                <c:pt idx="119">
                  <c:v>2.2434448325051668</c:v>
                </c:pt>
                <c:pt idx="120">
                  <c:v>3.3651672487577491</c:v>
                </c:pt>
                <c:pt idx="121">
                  <c:v>4.4868896650103336</c:v>
                </c:pt>
                <c:pt idx="122">
                  <c:v>5.6086120812629172</c:v>
                </c:pt>
                <c:pt idx="123">
                  <c:v>6.7303344975154982</c:v>
                </c:pt>
                <c:pt idx="124">
                  <c:v>4.4868896650103336</c:v>
                </c:pt>
                <c:pt idx="125">
                  <c:v>8.9737793300206672</c:v>
                </c:pt>
                <c:pt idx="126">
                  <c:v>13.460668995030996</c:v>
                </c:pt>
                <c:pt idx="127">
                  <c:v>17.947558660041334</c:v>
                </c:pt>
                <c:pt idx="128">
                  <c:v>0</c:v>
                </c:pt>
                <c:pt idx="129">
                  <c:v>5.6086120812629175E-2</c:v>
                </c:pt>
                <c:pt idx="130">
                  <c:v>0.11217224162525835</c:v>
                </c:pt>
                <c:pt idx="131">
                  <c:v>0.16825836243788747</c:v>
                </c:pt>
                <c:pt idx="132">
                  <c:v>0.2243444832505167</c:v>
                </c:pt>
                <c:pt idx="133">
                  <c:v>0.28043060406314585</c:v>
                </c:pt>
                <c:pt idx="134">
                  <c:v>0.33651672487577494</c:v>
                </c:pt>
                <c:pt idx="135">
                  <c:v>0.39260284568840409</c:v>
                </c:pt>
                <c:pt idx="136">
                  <c:v>0.4486889665010334</c:v>
                </c:pt>
                <c:pt idx="137">
                  <c:v>0.2243444832505167</c:v>
                </c:pt>
                <c:pt idx="138">
                  <c:v>0.4486889665010334</c:v>
                </c:pt>
                <c:pt idx="139">
                  <c:v>0.67303344975154988</c:v>
                </c:pt>
                <c:pt idx="140">
                  <c:v>0.89737793300206681</c:v>
                </c:pt>
                <c:pt idx="141">
                  <c:v>1.1217224162525834</c:v>
                </c:pt>
                <c:pt idx="142">
                  <c:v>1.3460668995030998</c:v>
                </c:pt>
                <c:pt idx="143">
                  <c:v>1.5704113827536164</c:v>
                </c:pt>
                <c:pt idx="144">
                  <c:v>0.50477508731366239</c:v>
                </c:pt>
                <c:pt idx="145">
                  <c:v>1.0095501746273248</c:v>
                </c:pt>
                <c:pt idx="146">
                  <c:v>1.5143252619409873</c:v>
                </c:pt>
                <c:pt idx="147">
                  <c:v>2.0191003492546495</c:v>
                </c:pt>
                <c:pt idx="148">
                  <c:v>2.5238754365683125</c:v>
                </c:pt>
                <c:pt idx="149">
                  <c:v>3.0286505238819745</c:v>
                </c:pt>
                <c:pt idx="150">
                  <c:v>0.89737793300206681</c:v>
                </c:pt>
                <c:pt idx="151">
                  <c:v>1.7947558660041336</c:v>
                </c:pt>
                <c:pt idx="152">
                  <c:v>2.6921337990061995</c:v>
                </c:pt>
                <c:pt idx="153">
                  <c:v>3.5895117320082672</c:v>
                </c:pt>
                <c:pt idx="154">
                  <c:v>4.4868896650103336</c:v>
                </c:pt>
                <c:pt idx="155">
                  <c:v>5.3842675980123991</c:v>
                </c:pt>
                <c:pt idx="156">
                  <c:v>3.5895117320082672</c:v>
                </c:pt>
                <c:pt idx="157">
                  <c:v>7.1790234640165345</c:v>
                </c:pt>
                <c:pt idx="158">
                  <c:v>10.768535196024798</c:v>
                </c:pt>
                <c:pt idx="159">
                  <c:v>14.358046928033069</c:v>
                </c:pt>
              </c:numCache>
            </c:numRef>
          </c:xVal>
          <c:yVal>
            <c:numRef>
              <c:f>Sheet1!$S$3:$S$162</c:f>
              <c:numCache>
                <c:formatCode>0.0</c:formatCode>
                <c:ptCount val="160"/>
                <c:pt idx="0">
                  <c:v>12</c:v>
                </c:pt>
                <c:pt idx="1">
                  <c:v>13</c:v>
                </c:pt>
                <c:pt idx="2">
                  <c:v>12.333333333333334</c:v>
                </c:pt>
                <c:pt idx="3">
                  <c:v>11.333333333333334</c:v>
                </c:pt>
                <c:pt idx="4">
                  <c:v>11.666666666666666</c:v>
                </c:pt>
                <c:pt idx="5">
                  <c:v>11</c:v>
                </c:pt>
                <c:pt idx="6">
                  <c:v>10.666666666666666</c:v>
                </c:pt>
                <c:pt idx="7">
                  <c:v>14.666666666666666</c:v>
                </c:pt>
                <c:pt idx="8">
                  <c:v>14</c:v>
                </c:pt>
                <c:pt idx="9">
                  <c:v>28.333333333333332</c:v>
                </c:pt>
                <c:pt idx="10">
                  <c:v>63</c:v>
                </c:pt>
                <c:pt idx="11">
                  <c:v>90</c:v>
                </c:pt>
                <c:pt idx="12">
                  <c:v>71</c:v>
                </c:pt>
                <c:pt idx="13">
                  <c:v>46.666666666666664</c:v>
                </c:pt>
                <c:pt idx="14">
                  <c:v>43.666666666666664</c:v>
                </c:pt>
                <c:pt idx="15">
                  <c:v>57.666666666666664</c:v>
                </c:pt>
                <c:pt idx="16">
                  <c:v>40.666666666666664</c:v>
                </c:pt>
                <c:pt idx="17">
                  <c:v>66.333333333333329</c:v>
                </c:pt>
                <c:pt idx="18">
                  <c:v>39</c:v>
                </c:pt>
                <c:pt idx="19">
                  <c:v>25.666666666666668</c:v>
                </c:pt>
                <c:pt idx="20">
                  <c:v>19.666666666666668</c:v>
                </c:pt>
                <c:pt idx="21">
                  <c:v>26.333333333333332</c:v>
                </c:pt>
                <c:pt idx="22">
                  <c:v>54.666666666666664</c:v>
                </c:pt>
                <c:pt idx="23">
                  <c:v>33.666666666666664</c:v>
                </c:pt>
                <c:pt idx="24">
                  <c:v>22.333333333333332</c:v>
                </c:pt>
                <c:pt idx="25">
                  <c:v>16</c:v>
                </c:pt>
                <c:pt idx="26">
                  <c:v>13.666666666666666</c:v>
                </c:pt>
                <c:pt idx="27">
                  <c:v>15</c:v>
                </c:pt>
                <c:pt idx="28">
                  <c:v>13.333333333333334</c:v>
                </c:pt>
                <c:pt idx="29">
                  <c:v>9</c:v>
                </c:pt>
                <c:pt idx="30">
                  <c:v>7.666666666666667</c:v>
                </c:pt>
                <c:pt idx="31">
                  <c:v>6.666666666666667</c:v>
                </c:pt>
                <c:pt idx="32">
                  <c:v>12.666666666666666</c:v>
                </c:pt>
                <c:pt idx="33">
                  <c:v>10.666666666666666</c:v>
                </c:pt>
                <c:pt idx="34">
                  <c:v>12.666666666666666</c:v>
                </c:pt>
                <c:pt idx="35">
                  <c:v>11</c:v>
                </c:pt>
                <c:pt idx="36">
                  <c:v>13</c:v>
                </c:pt>
                <c:pt idx="37">
                  <c:v>13</c:v>
                </c:pt>
                <c:pt idx="38">
                  <c:v>13.666666666666666</c:v>
                </c:pt>
                <c:pt idx="39">
                  <c:v>16</c:v>
                </c:pt>
                <c:pt idx="40">
                  <c:v>16</c:v>
                </c:pt>
                <c:pt idx="41">
                  <c:v>28</c:v>
                </c:pt>
                <c:pt idx="42">
                  <c:v>47</c:v>
                </c:pt>
                <c:pt idx="43">
                  <c:v>97.333333333333329</c:v>
                </c:pt>
                <c:pt idx="44">
                  <c:v>85.666666666666671</c:v>
                </c:pt>
                <c:pt idx="45">
                  <c:v>60.666666666666664</c:v>
                </c:pt>
                <c:pt idx="46">
                  <c:v>59</c:v>
                </c:pt>
                <c:pt idx="47">
                  <c:v>65.666666666666671</c:v>
                </c:pt>
                <c:pt idx="48">
                  <c:v>32</c:v>
                </c:pt>
                <c:pt idx="49">
                  <c:v>67.333333333333329</c:v>
                </c:pt>
                <c:pt idx="50">
                  <c:v>54</c:v>
                </c:pt>
                <c:pt idx="51">
                  <c:v>42.666666666666664</c:v>
                </c:pt>
                <c:pt idx="52">
                  <c:v>32.333333333333336</c:v>
                </c:pt>
                <c:pt idx="53">
                  <c:v>38</c:v>
                </c:pt>
                <c:pt idx="54">
                  <c:v>41.666666666666664</c:v>
                </c:pt>
                <c:pt idx="55">
                  <c:v>39</c:v>
                </c:pt>
                <c:pt idx="56">
                  <c:v>37.666666666666664</c:v>
                </c:pt>
                <c:pt idx="57">
                  <c:v>23.333333333333332</c:v>
                </c:pt>
                <c:pt idx="58">
                  <c:v>20.666666666666668</c:v>
                </c:pt>
                <c:pt idx="59">
                  <c:v>21</c:v>
                </c:pt>
                <c:pt idx="60">
                  <c:v>20</c:v>
                </c:pt>
                <c:pt idx="61">
                  <c:v>15.333333333333334</c:v>
                </c:pt>
                <c:pt idx="62">
                  <c:v>11.333333333333334</c:v>
                </c:pt>
                <c:pt idx="63">
                  <c:v>10.333333333333334</c:v>
                </c:pt>
                <c:pt idx="64">
                  <c:v>15</c:v>
                </c:pt>
                <c:pt idx="65">
                  <c:v>14.666666666666666</c:v>
                </c:pt>
                <c:pt idx="66">
                  <c:v>15</c:v>
                </c:pt>
                <c:pt idx="67">
                  <c:v>12.666666666666666</c:v>
                </c:pt>
                <c:pt idx="68">
                  <c:v>15</c:v>
                </c:pt>
                <c:pt idx="69">
                  <c:v>22.666666666666668</c:v>
                </c:pt>
                <c:pt idx="70">
                  <c:v>15.333333333333334</c:v>
                </c:pt>
                <c:pt idx="71">
                  <c:v>19.333333333333332</c:v>
                </c:pt>
                <c:pt idx="72">
                  <c:v>17.666666666666668</c:v>
                </c:pt>
                <c:pt idx="73">
                  <c:v>23.666666666666668</c:v>
                </c:pt>
                <c:pt idx="74">
                  <c:v>37</c:v>
                </c:pt>
                <c:pt idx="75">
                  <c:v>64.666666666666671</c:v>
                </c:pt>
                <c:pt idx="76">
                  <c:v>89.666666666666671</c:v>
                </c:pt>
                <c:pt idx="77">
                  <c:v>94.666666666666671</c:v>
                </c:pt>
                <c:pt idx="78">
                  <c:v>92.666666666666671</c:v>
                </c:pt>
                <c:pt idx="79">
                  <c:v>59.333333333333336</c:v>
                </c:pt>
                <c:pt idx="80">
                  <c:v>23.333333333333332</c:v>
                </c:pt>
                <c:pt idx="81">
                  <c:v>65</c:v>
                </c:pt>
                <c:pt idx="82">
                  <c:v>61</c:v>
                </c:pt>
                <c:pt idx="83">
                  <c:v>52.666666666666664</c:v>
                </c:pt>
                <c:pt idx="84">
                  <c:v>45.333333333333336</c:v>
                </c:pt>
                <c:pt idx="85">
                  <c:v>40.333333333333336</c:v>
                </c:pt>
                <c:pt idx="86">
                  <c:v>30</c:v>
                </c:pt>
                <c:pt idx="87">
                  <c:v>31.666666666666668</c:v>
                </c:pt>
                <c:pt idx="88">
                  <c:v>44</c:v>
                </c:pt>
                <c:pt idx="89">
                  <c:v>33.666666666666664</c:v>
                </c:pt>
                <c:pt idx="90">
                  <c:v>30.666666666666668</c:v>
                </c:pt>
                <c:pt idx="91">
                  <c:v>27.333333333333332</c:v>
                </c:pt>
                <c:pt idx="92">
                  <c:v>26.333333333333332</c:v>
                </c:pt>
                <c:pt idx="93">
                  <c:v>20.333333333333332</c:v>
                </c:pt>
                <c:pt idx="94">
                  <c:v>16</c:v>
                </c:pt>
                <c:pt idx="95">
                  <c:v>14.333333333333334</c:v>
                </c:pt>
                <c:pt idx="96">
                  <c:v>12.666666666666666</c:v>
                </c:pt>
                <c:pt idx="97">
                  <c:v>13.666666666666666</c:v>
                </c:pt>
                <c:pt idx="98">
                  <c:v>12</c:v>
                </c:pt>
                <c:pt idx="99">
                  <c:v>14</c:v>
                </c:pt>
                <c:pt idx="100">
                  <c:v>12</c:v>
                </c:pt>
                <c:pt idx="101">
                  <c:v>13.5</c:v>
                </c:pt>
                <c:pt idx="102">
                  <c:v>12</c:v>
                </c:pt>
                <c:pt idx="103">
                  <c:v>12</c:v>
                </c:pt>
                <c:pt idx="104">
                  <c:v>11.333333333333334</c:v>
                </c:pt>
                <c:pt idx="105">
                  <c:v>22</c:v>
                </c:pt>
                <c:pt idx="106">
                  <c:v>35</c:v>
                </c:pt>
                <c:pt idx="107">
                  <c:v>71.666666666666671</c:v>
                </c:pt>
                <c:pt idx="108">
                  <c:v>68.333333333333329</c:v>
                </c:pt>
                <c:pt idx="109">
                  <c:v>88.666666666666671</c:v>
                </c:pt>
                <c:pt idx="110">
                  <c:v>84</c:v>
                </c:pt>
                <c:pt idx="111">
                  <c:v>94.666666666666671</c:v>
                </c:pt>
                <c:pt idx="112">
                  <c:v>18.666666666666668</c:v>
                </c:pt>
                <c:pt idx="113">
                  <c:v>48.333333333333336</c:v>
                </c:pt>
                <c:pt idx="114">
                  <c:v>57.666666666666664</c:v>
                </c:pt>
                <c:pt idx="115">
                  <c:v>63.666666666666664</c:v>
                </c:pt>
                <c:pt idx="116">
                  <c:v>54</c:v>
                </c:pt>
                <c:pt idx="117">
                  <c:v>54.666666666666664</c:v>
                </c:pt>
                <c:pt idx="118">
                  <c:v>26</c:v>
                </c:pt>
                <c:pt idx="119">
                  <c:v>43</c:v>
                </c:pt>
                <c:pt idx="120">
                  <c:v>50.666666666666664</c:v>
                </c:pt>
                <c:pt idx="121">
                  <c:v>37</c:v>
                </c:pt>
                <c:pt idx="122">
                  <c:v>32.333333333333336</c:v>
                </c:pt>
                <c:pt idx="123">
                  <c:v>31.666666666666668</c:v>
                </c:pt>
                <c:pt idx="124">
                  <c:v>30.666666666666668</c:v>
                </c:pt>
                <c:pt idx="125">
                  <c:v>23.666666666666668</c:v>
                </c:pt>
                <c:pt idx="126">
                  <c:v>17.666666666666668</c:v>
                </c:pt>
                <c:pt idx="127">
                  <c:v>16.333333333333332</c:v>
                </c:pt>
                <c:pt idx="128">
                  <c:v>7.666666666666667</c:v>
                </c:pt>
                <c:pt idx="129">
                  <c:v>11</c:v>
                </c:pt>
                <c:pt idx="130">
                  <c:v>12.666666666666666</c:v>
                </c:pt>
                <c:pt idx="131">
                  <c:v>13.666666666666666</c:v>
                </c:pt>
                <c:pt idx="132">
                  <c:v>17.666666666666668</c:v>
                </c:pt>
                <c:pt idx="133">
                  <c:v>13</c:v>
                </c:pt>
                <c:pt idx="134">
                  <c:v>11.5</c:v>
                </c:pt>
                <c:pt idx="135">
                  <c:v>8.6666666666666661</c:v>
                </c:pt>
                <c:pt idx="136">
                  <c:v>8</c:v>
                </c:pt>
                <c:pt idx="137">
                  <c:v>20.666666666666668</c:v>
                </c:pt>
                <c:pt idx="138">
                  <c:v>26</c:v>
                </c:pt>
                <c:pt idx="139">
                  <c:v>42.333333333333336</c:v>
                </c:pt>
                <c:pt idx="140">
                  <c:v>87.333333333333329</c:v>
                </c:pt>
                <c:pt idx="141">
                  <c:v>96.666666666666671</c:v>
                </c:pt>
                <c:pt idx="142">
                  <c:v>100.66666666666667</c:v>
                </c:pt>
                <c:pt idx="143">
                  <c:v>86.666666666666671</c:v>
                </c:pt>
                <c:pt idx="144">
                  <c:v>19.333333333333332</c:v>
                </c:pt>
                <c:pt idx="145">
                  <c:v>50.333333333333336</c:v>
                </c:pt>
                <c:pt idx="146">
                  <c:v>61.666666666666664</c:v>
                </c:pt>
                <c:pt idx="147">
                  <c:v>69.333333333333329</c:v>
                </c:pt>
                <c:pt idx="148">
                  <c:v>60.333333333333336</c:v>
                </c:pt>
                <c:pt idx="149">
                  <c:v>58</c:v>
                </c:pt>
                <c:pt idx="150">
                  <c:v>23</c:v>
                </c:pt>
                <c:pt idx="151">
                  <c:v>47.333333333333336</c:v>
                </c:pt>
                <c:pt idx="152">
                  <c:v>56.666666666666664</c:v>
                </c:pt>
                <c:pt idx="153">
                  <c:v>44</c:v>
                </c:pt>
                <c:pt idx="154">
                  <c:v>39.666666666666664</c:v>
                </c:pt>
                <c:pt idx="155">
                  <c:v>39</c:v>
                </c:pt>
                <c:pt idx="156">
                  <c:v>30.333333333333332</c:v>
                </c:pt>
                <c:pt idx="157">
                  <c:v>27.666666666666668</c:v>
                </c:pt>
                <c:pt idx="158">
                  <c:v>23</c:v>
                </c:pt>
                <c:pt idx="15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E5-8B47-B1CE-2E20C15BB9B8}"/>
            </c:ext>
          </c:extLst>
        </c:ser>
        <c:ser>
          <c:idx val="5"/>
          <c:order val="1"/>
          <c:tx>
            <c:v>R6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Sheet1!$M$351:$M$403</c:f>
              <c:numCache>
                <c:formatCode>0</c:formatCode>
                <c:ptCount val="53"/>
                <c:pt idx="0">
                  <c:v>0</c:v>
                </c:pt>
                <c:pt idx="1">
                  <c:v>0.76323543135018479</c:v>
                </c:pt>
                <c:pt idx="2">
                  <c:v>1.5264708627003696</c:v>
                </c:pt>
                <c:pt idx="3">
                  <c:v>2.2897062940505535</c:v>
                </c:pt>
                <c:pt idx="4">
                  <c:v>3.0529417254007392</c:v>
                </c:pt>
                <c:pt idx="5">
                  <c:v>3.8161771567509239</c:v>
                </c:pt>
                <c:pt idx="6">
                  <c:v>3.0529417254007392</c:v>
                </c:pt>
                <c:pt idx="7">
                  <c:v>6.1058834508014783</c:v>
                </c:pt>
                <c:pt idx="8">
                  <c:v>9.1588251762022139</c:v>
                </c:pt>
                <c:pt idx="9">
                  <c:v>12.211766901602957</c:v>
                </c:pt>
                <c:pt idx="10">
                  <c:v>15.264708627003696</c:v>
                </c:pt>
                <c:pt idx="11">
                  <c:v>18.317650352404428</c:v>
                </c:pt>
                <c:pt idx="12">
                  <c:v>6.8691188821516604</c:v>
                </c:pt>
                <c:pt idx="13">
                  <c:v>13.738237764303321</c:v>
                </c:pt>
                <c:pt idx="14">
                  <c:v>20.607356646454985</c:v>
                </c:pt>
                <c:pt idx="15">
                  <c:v>27.476475528606642</c:v>
                </c:pt>
                <c:pt idx="16">
                  <c:v>34.345594410758309</c:v>
                </c:pt>
                <c:pt idx="17">
                  <c:v>12.211766901602957</c:v>
                </c:pt>
                <c:pt idx="18">
                  <c:v>24.423533803205913</c:v>
                </c:pt>
                <c:pt idx="19">
                  <c:v>36.635300704808856</c:v>
                </c:pt>
                <c:pt idx="20">
                  <c:v>48.847067606411827</c:v>
                </c:pt>
                <c:pt idx="21">
                  <c:v>61.058834508014783</c:v>
                </c:pt>
                <c:pt idx="22">
                  <c:v>48.847067606411827</c:v>
                </c:pt>
                <c:pt idx="23">
                  <c:v>97.694135212823653</c:v>
                </c:pt>
                <c:pt idx="24">
                  <c:v>146.54120281923542</c:v>
                </c:pt>
                <c:pt idx="25">
                  <c:v>195.38827042564731</c:v>
                </c:pt>
                <c:pt idx="26">
                  <c:v>0</c:v>
                </c:pt>
                <c:pt idx="27">
                  <c:v>0.1543622220708239</c:v>
                </c:pt>
                <c:pt idx="28">
                  <c:v>0.30872444414164779</c:v>
                </c:pt>
                <c:pt idx="29">
                  <c:v>0.46308666621247146</c:v>
                </c:pt>
                <c:pt idx="30">
                  <c:v>0.61744888828329558</c:v>
                </c:pt>
                <c:pt idx="31">
                  <c:v>0.77181111035411942</c:v>
                </c:pt>
                <c:pt idx="32">
                  <c:v>0.61744888828329558</c:v>
                </c:pt>
                <c:pt idx="33">
                  <c:v>1.2348977765665912</c:v>
                </c:pt>
                <c:pt idx="34">
                  <c:v>1.8523466648498859</c:v>
                </c:pt>
                <c:pt idx="35">
                  <c:v>2.4697955531331823</c:v>
                </c:pt>
                <c:pt idx="36">
                  <c:v>3.0872444414164777</c:v>
                </c:pt>
                <c:pt idx="37">
                  <c:v>3.7046933296997717</c:v>
                </c:pt>
                <c:pt idx="38">
                  <c:v>1.3892599986374146</c:v>
                </c:pt>
                <c:pt idx="39">
                  <c:v>2.7785199972748291</c:v>
                </c:pt>
                <c:pt idx="40">
                  <c:v>4.1677799959122437</c:v>
                </c:pt>
                <c:pt idx="41">
                  <c:v>5.5570399945496582</c:v>
                </c:pt>
                <c:pt idx="42">
                  <c:v>6.9462999931870746</c:v>
                </c:pt>
                <c:pt idx="43">
                  <c:v>8.3355599918244874</c:v>
                </c:pt>
                <c:pt idx="44">
                  <c:v>2.4697955531331823</c:v>
                </c:pt>
                <c:pt idx="45">
                  <c:v>4.9395911062663647</c:v>
                </c:pt>
                <c:pt idx="46">
                  <c:v>7.4093866593995434</c:v>
                </c:pt>
                <c:pt idx="47">
                  <c:v>9.8791822125327293</c:v>
                </c:pt>
                <c:pt idx="48">
                  <c:v>12.348977765665911</c:v>
                </c:pt>
                <c:pt idx="49">
                  <c:v>9.8791822125327293</c:v>
                </c:pt>
                <c:pt idx="50">
                  <c:v>19.758364425065459</c:v>
                </c:pt>
                <c:pt idx="51">
                  <c:v>29.637546637598174</c:v>
                </c:pt>
                <c:pt idx="52">
                  <c:v>39.516728850130917</c:v>
                </c:pt>
              </c:numCache>
            </c:numRef>
          </c:xVal>
          <c:yVal>
            <c:numRef>
              <c:f>Sheet1!$S$351:$S$403</c:f>
              <c:numCache>
                <c:formatCode>0.0</c:formatCode>
                <c:ptCount val="53"/>
                <c:pt idx="0">
                  <c:v>12.333333333333334</c:v>
                </c:pt>
                <c:pt idx="1">
                  <c:v>10.5</c:v>
                </c:pt>
                <c:pt idx="2">
                  <c:v>10.5</c:v>
                </c:pt>
                <c:pt idx="3">
                  <c:v>10.5</c:v>
                </c:pt>
                <c:pt idx="4">
                  <c:v>10</c:v>
                </c:pt>
                <c:pt idx="5">
                  <c:v>9.5</c:v>
                </c:pt>
                <c:pt idx="6">
                  <c:v>16.333333333333332</c:v>
                </c:pt>
                <c:pt idx="7">
                  <c:v>17</c:v>
                </c:pt>
                <c:pt idx="8">
                  <c:v>22</c:v>
                </c:pt>
                <c:pt idx="9">
                  <c:v>26.333333333333332</c:v>
                </c:pt>
                <c:pt idx="10">
                  <c:v>27.333333333333332</c:v>
                </c:pt>
                <c:pt idx="11">
                  <c:v>19.666666666666668</c:v>
                </c:pt>
                <c:pt idx="12">
                  <c:v>30</c:v>
                </c:pt>
                <c:pt idx="13">
                  <c:v>37</c:v>
                </c:pt>
                <c:pt idx="14">
                  <c:v>41.5</c:v>
                </c:pt>
                <c:pt idx="15">
                  <c:v>26.666666666666668</c:v>
                </c:pt>
                <c:pt idx="16">
                  <c:v>27</c:v>
                </c:pt>
                <c:pt idx="17">
                  <c:v>36.666666666666664</c:v>
                </c:pt>
                <c:pt idx="18">
                  <c:v>43</c:v>
                </c:pt>
                <c:pt idx="19">
                  <c:v>40</c:v>
                </c:pt>
                <c:pt idx="20">
                  <c:v>23</c:v>
                </c:pt>
                <c:pt idx="21">
                  <c:v>21</c:v>
                </c:pt>
                <c:pt idx="22">
                  <c:v>52</c:v>
                </c:pt>
                <c:pt idx="23">
                  <c:v>25.5</c:v>
                </c:pt>
                <c:pt idx="24">
                  <c:v>11</c:v>
                </c:pt>
                <c:pt idx="25">
                  <c:v>9.5</c:v>
                </c:pt>
                <c:pt idx="26">
                  <c:v>16</c:v>
                </c:pt>
                <c:pt idx="27">
                  <c:v>18</c:v>
                </c:pt>
                <c:pt idx="28">
                  <c:v>22</c:v>
                </c:pt>
                <c:pt idx="29">
                  <c:v>26</c:v>
                </c:pt>
                <c:pt idx="30">
                  <c:v>23.5</c:v>
                </c:pt>
                <c:pt idx="31">
                  <c:v>13</c:v>
                </c:pt>
                <c:pt idx="32">
                  <c:v>26</c:v>
                </c:pt>
                <c:pt idx="33">
                  <c:v>35.666666666666664</c:v>
                </c:pt>
                <c:pt idx="34">
                  <c:v>40</c:v>
                </c:pt>
                <c:pt idx="35">
                  <c:v>45.666666666666664</c:v>
                </c:pt>
                <c:pt idx="36">
                  <c:v>33.333333333333336</c:v>
                </c:pt>
                <c:pt idx="37">
                  <c:v>22.333333333333332</c:v>
                </c:pt>
                <c:pt idx="38">
                  <c:v>27</c:v>
                </c:pt>
                <c:pt idx="39">
                  <c:v>44.666666666666664</c:v>
                </c:pt>
                <c:pt idx="40">
                  <c:v>36.666666666666664</c:v>
                </c:pt>
                <c:pt idx="41">
                  <c:v>32.333333333333336</c:v>
                </c:pt>
                <c:pt idx="42">
                  <c:v>31.333333333333332</c:v>
                </c:pt>
                <c:pt idx="43">
                  <c:v>25.666666666666668</c:v>
                </c:pt>
                <c:pt idx="44">
                  <c:v>35</c:v>
                </c:pt>
                <c:pt idx="45">
                  <c:v>43.666666666666664</c:v>
                </c:pt>
                <c:pt idx="46">
                  <c:v>43</c:v>
                </c:pt>
                <c:pt idx="47">
                  <c:v>40.333333333333336</c:v>
                </c:pt>
                <c:pt idx="48">
                  <c:v>33.333333333333336</c:v>
                </c:pt>
                <c:pt idx="49">
                  <c:v>27</c:v>
                </c:pt>
                <c:pt idx="50">
                  <c:v>41</c:v>
                </c:pt>
                <c:pt idx="51">
                  <c:v>36.5</c:v>
                </c:pt>
                <c:pt idx="52">
                  <c:v>36.5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E5-8B47-B1CE-2E20C15BB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225840"/>
        <c:axId val="746922704"/>
      </c:scatterChart>
      <c:valAx>
        <c:axId val="47722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100" b="0" i="0" baseline="0">
                    <a:effectLst/>
                  </a:rPr>
                  <a:t>De</a:t>
                </a:r>
                <a:r>
                  <a:rPr lang="en-GB" sz="1100" b="0" i="0" baseline="-25000">
                    <a:effectLst/>
                  </a:rPr>
                  <a:t>o</a:t>
                </a:r>
                <a:r>
                  <a:rPr lang="en-GB" sz="1100" b="0" i="0" baseline="0">
                    <a:effectLst/>
                  </a:rPr>
                  <a:t>(x</a:t>
                </a:r>
                <a:r>
                  <a:rPr lang="en-GB" sz="1100" b="0" i="0" baseline="-25000">
                    <a:effectLst/>
                  </a:rPr>
                  <a:t>o</a:t>
                </a:r>
                <a:r>
                  <a:rPr lang="en-GB" sz="1100" b="0" i="0" baseline="0">
                    <a:effectLst/>
                  </a:rPr>
                  <a:t>/R</a:t>
                </a:r>
                <a:r>
                  <a:rPr lang="en-GB" sz="1100" b="0" i="0" baseline="-25000">
                    <a:effectLst/>
                  </a:rPr>
                  <a:t>c</a:t>
                </a:r>
                <a:r>
                  <a:rPr lang="en-GB" sz="1100" b="0" i="0" baseline="0">
                    <a:effectLst/>
                  </a:rPr>
                  <a:t>)/Re</a:t>
                </a:r>
                <a:r>
                  <a:rPr lang="en-GB" sz="1100" b="0" i="0" baseline="-25000">
                    <a:effectLst/>
                  </a:rPr>
                  <a:t>n</a:t>
                </a:r>
                <a:endParaRPr lang="en-GB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46922704"/>
        <c:crosses val="autoZero"/>
        <c:crossBetween val="midCat"/>
      </c:valAx>
      <c:valAx>
        <c:axId val="746922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772258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876140482439694"/>
          <c:y val="7.5808544765237684E-2"/>
          <c:w val="7.0365485564304456E-2"/>
          <c:h val="0.20023476232137649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28</xdr:col>
      <xdr:colOff>533400</xdr:colOff>
      <xdr:row>16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17</xdr:row>
      <xdr:rowOff>0</xdr:rowOff>
    </xdr:from>
    <xdr:to>
      <xdr:col>28</xdr:col>
      <xdr:colOff>533400</xdr:colOff>
      <xdr:row>31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28</xdr:col>
      <xdr:colOff>533400</xdr:colOff>
      <xdr:row>46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47</xdr:row>
      <xdr:rowOff>0</xdr:rowOff>
    </xdr:from>
    <xdr:to>
      <xdr:col>28</xdr:col>
      <xdr:colOff>533400</xdr:colOff>
      <xdr:row>61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3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2" width="9.1640625" style="1"/>
    <col min="13" max="13" width="17.6640625" style="1" customWidth="1"/>
    <col min="14" max="16" width="0" style="2" hidden="1" customWidth="1"/>
    <col min="17" max="17" width="0" style="1" hidden="1" customWidth="1"/>
    <col min="18" max="18" width="2.5" style="1" hidden="1" customWidth="1"/>
    <col min="19" max="19" width="9.1640625" style="1"/>
    <col min="20" max="20" width="0" style="1" hidden="1" customWidth="1"/>
    <col min="22" max="29" width="0" hidden="1" customWidth="1"/>
  </cols>
  <sheetData>
    <row r="1" spans="1:20" x14ac:dyDescent="0.2">
      <c r="A1" s="42" t="s">
        <v>15</v>
      </c>
      <c r="B1" s="44" t="s">
        <v>21</v>
      </c>
      <c r="C1" s="43"/>
      <c r="D1" s="43"/>
      <c r="E1" s="43"/>
      <c r="F1" s="44" t="s">
        <v>22</v>
      </c>
      <c r="G1" s="43"/>
      <c r="H1" s="43"/>
      <c r="I1" s="44" t="s">
        <v>23</v>
      </c>
      <c r="J1" s="43"/>
      <c r="K1" s="43"/>
      <c r="L1" s="43"/>
      <c r="M1" s="43"/>
      <c r="N1" s="44" t="s">
        <v>24</v>
      </c>
      <c r="O1" s="43"/>
      <c r="P1" s="43"/>
      <c r="Q1" s="43"/>
      <c r="R1" s="43"/>
      <c r="S1" s="43"/>
      <c r="T1" s="43"/>
    </row>
    <row r="2" spans="1:20" ht="17" x14ac:dyDescent="0.2">
      <c r="A2" s="43"/>
      <c r="B2" s="13" t="s">
        <v>9</v>
      </c>
      <c r="C2" s="14" t="s">
        <v>10</v>
      </c>
      <c r="D2" s="14" t="s">
        <v>11</v>
      </c>
      <c r="E2" s="15" t="s">
        <v>12</v>
      </c>
      <c r="F2" s="14" t="s">
        <v>8</v>
      </c>
      <c r="G2" s="14" t="s">
        <v>1</v>
      </c>
      <c r="H2" s="15" t="s">
        <v>7</v>
      </c>
      <c r="I2" s="14" t="s">
        <v>13</v>
      </c>
      <c r="J2" s="14" t="s">
        <v>14</v>
      </c>
      <c r="K2" s="16" t="s">
        <v>29</v>
      </c>
      <c r="L2" s="14" t="s">
        <v>27</v>
      </c>
      <c r="M2" s="15" t="s">
        <v>28</v>
      </c>
      <c r="N2" s="20" t="s">
        <v>2</v>
      </c>
      <c r="O2" s="33" t="s">
        <v>3</v>
      </c>
      <c r="P2" s="33" t="s">
        <v>4</v>
      </c>
      <c r="Q2" s="16" t="s">
        <v>25</v>
      </c>
      <c r="R2" s="16" t="s">
        <v>26</v>
      </c>
      <c r="S2" s="21" t="s">
        <v>5</v>
      </c>
      <c r="T2" s="16" t="s">
        <v>6</v>
      </c>
    </row>
    <row r="3" spans="1:20" x14ac:dyDescent="0.2">
      <c r="A3" s="7" t="s">
        <v>0</v>
      </c>
      <c r="B3" s="1">
        <v>5</v>
      </c>
      <c r="C3" s="1">
        <v>12.5</v>
      </c>
      <c r="D3" s="1">
        <v>10</v>
      </c>
      <c r="E3" s="7">
        <v>16.48</v>
      </c>
      <c r="F3" s="1">
        <v>10</v>
      </c>
      <c r="G3" s="1">
        <v>0</v>
      </c>
      <c r="H3" s="7">
        <v>0</v>
      </c>
      <c r="I3" s="5">
        <f>(2*PI()*G3*(H3/1000)*998*(B3/1000))/0.001</f>
        <v>0</v>
      </c>
      <c r="J3" s="5">
        <f>I3*SQRT(C3/(2*B3))</f>
        <v>0</v>
      </c>
      <c r="K3" s="5">
        <f>I3/F3</f>
        <v>0</v>
      </c>
      <c r="L3" s="30" t="e">
        <f>(C3/(2*PI()*H3))</f>
        <v>#DIV/0!</v>
      </c>
      <c r="M3" s="8">
        <f>((J3*(H3/C3))/F3)</f>
        <v>0</v>
      </c>
      <c r="N3" s="2">
        <v>10</v>
      </c>
      <c r="O3" s="2">
        <v>15</v>
      </c>
      <c r="P3" s="2">
        <v>11</v>
      </c>
      <c r="S3" s="28">
        <f>AVERAGE(N3:R3)</f>
        <v>12</v>
      </c>
      <c r="T3" s="29">
        <f>STDEV(N3:R3)</f>
        <v>2.6457513110645907</v>
      </c>
    </row>
    <row r="4" spans="1:20" x14ac:dyDescent="0.2">
      <c r="A4" s="7" t="s">
        <v>0</v>
      </c>
      <c r="B4" s="1">
        <v>5</v>
      </c>
      <c r="C4" s="1">
        <v>12.5</v>
      </c>
      <c r="D4" s="1">
        <v>10</v>
      </c>
      <c r="E4" s="7">
        <v>16.48</v>
      </c>
      <c r="F4" s="1">
        <v>10</v>
      </c>
      <c r="G4" s="1">
        <v>1</v>
      </c>
      <c r="H4" s="7">
        <v>1</v>
      </c>
      <c r="I4" s="5">
        <f t="shared" ref="I4:I67" si="0">(2*PI()*G4*(H4/1000)*998*(B4/1000))/0.001</f>
        <v>31.353094682826139</v>
      </c>
      <c r="J4" s="5">
        <f t="shared" ref="J4:J67" si="1">I4*SQRT(C4/(2*B4))</f>
        <v>35.053825507893229</v>
      </c>
      <c r="K4" s="5">
        <f t="shared" ref="K4:K67" si="2">I4/F4</f>
        <v>3.1353094682826139</v>
      </c>
      <c r="L4" s="30">
        <f>(C4/(2*PI()*H4))</f>
        <v>1.9894367886486917</v>
      </c>
      <c r="M4" s="8">
        <f t="shared" ref="M4:M67" si="3">((J4*(H4/C4))/F4)</f>
        <v>0.28043060406314585</v>
      </c>
      <c r="N4" s="2">
        <v>14</v>
      </c>
      <c r="O4" s="2">
        <v>13</v>
      </c>
      <c r="P4" s="2">
        <v>12</v>
      </c>
      <c r="Q4" s="2"/>
      <c r="R4" s="2"/>
      <c r="S4" s="22">
        <f t="shared" ref="S4:S67" si="4">AVERAGE(N4:R4)</f>
        <v>13</v>
      </c>
      <c r="T4" s="25">
        <f t="shared" ref="T4:T67" si="5">STDEV(N4:R4)</f>
        <v>1</v>
      </c>
    </row>
    <row r="5" spans="1:20" x14ac:dyDescent="0.2">
      <c r="A5" s="7" t="s">
        <v>0</v>
      </c>
      <c r="B5" s="1">
        <v>5</v>
      </c>
      <c r="C5" s="1">
        <v>12.5</v>
      </c>
      <c r="D5" s="1">
        <v>10</v>
      </c>
      <c r="E5" s="7">
        <v>16.48</v>
      </c>
      <c r="F5" s="1">
        <v>10</v>
      </c>
      <c r="G5" s="1">
        <v>2</v>
      </c>
      <c r="H5" s="7">
        <v>1</v>
      </c>
      <c r="I5" s="5">
        <f t="shared" si="0"/>
        <v>62.706189365652278</v>
      </c>
      <c r="J5" s="5">
        <f t="shared" si="1"/>
        <v>70.107651015786459</v>
      </c>
      <c r="K5" s="5">
        <f t="shared" si="2"/>
        <v>6.2706189365652278</v>
      </c>
      <c r="L5" s="30">
        <f>(C5/(2*PI()*H5))</f>
        <v>1.9894367886486917</v>
      </c>
      <c r="M5" s="8">
        <f>((J5*(H5/C5))/F5)</f>
        <v>0.5608612081262917</v>
      </c>
      <c r="N5" s="2">
        <v>13</v>
      </c>
      <c r="O5" s="2">
        <v>12</v>
      </c>
      <c r="P5" s="2">
        <v>12</v>
      </c>
      <c r="Q5" s="2"/>
      <c r="R5" s="2"/>
      <c r="S5" s="22">
        <f t="shared" si="4"/>
        <v>12.333333333333334</v>
      </c>
      <c r="T5" s="25">
        <f t="shared" si="5"/>
        <v>0.57735026918962573</v>
      </c>
    </row>
    <row r="6" spans="1:20" x14ac:dyDescent="0.2">
      <c r="A6" s="7" t="s">
        <v>0</v>
      </c>
      <c r="B6" s="1">
        <v>5</v>
      </c>
      <c r="C6" s="1">
        <v>12.5</v>
      </c>
      <c r="D6" s="1">
        <v>10</v>
      </c>
      <c r="E6" s="7">
        <v>16.48</v>
      </c>
      <c r="F6" s="1">
        <v>10</v>
      </c>
      <c r="G6" s="1">
        <v>3</v>
      </c>
      <c r="H6" s="7">
        <v>1</v>
      </c>
      <c r="I6" s="5">
        <f t="shared" si="0"/>
        <v>94.059284048478403</v>
      </c>
      <c r="J6" s="5">
        <f t="shared" si="1"/>
        <v>105.16147652367967</v>
      </c>
      <c r="K6" s="5">
        <f t="shared" si="2"/>
        <v>9.40592840484784</v>
      </c>
      <c r="L6" s="30">
        <f t="shared" ref="L6:L67" si="6">(C6/(2*PI()*H6))</f>
        <v>1.9894367886486917</v>
      </c>
      <c r="M6" s="8">
        <f t="shared" si="3"/>
        <v>0.84129181218943727</v>
      </c>
      <c r="N6" s="2">
        <v>9</v>
      </c>
      <c r="O6" s="2">
        <v>12</v>
      </c>
      <c r="P6" s="2">
        <v>13</v>
      </c>
      <c r="Q6" s="2"/>
      <c r="R6" s="2"/>
      <c r="S6" s="22">
        <f t="shared" si="4"/>
        <v>11.333333333333334</v>
      </c>
      <c r="T6" s="25">
        <f t="shared" si="5"/>
        <v>2.0816659994661348</v>
      </c>
    </row>
    <row r="7" spans="1:20" x14ac:dyDescent="0.2">
      <c r="A7" s="7" t="s">
        <v>0</v>
      </c>
      <c r="B7" s="1">
        <v>5</v>
      </c>
      <c r="C7" s="1">
        <v>12.5</v>
      </c>
      <c r="D7" s="1">
        <v>10</v>
      </c>
      <c r="E7" s="7">
        <v>16.48</v>
      </c>
      <c r="F7" s="1">
        <v>10</v>
      </c>
      <c r="G7" s="1">
        <v>4</v>
      </c>
      <c r="H7" s="7">
        <v>1</v>
      </c>
      <c r="I7" s="5">
        <f t="shared" si="0"/>
        <v>125.41237873130456</v>
      </c>
      <c r="J7" s="5">
        <f t="shared" si="1"/>
        <v>140.21530203157292</v>
      </c>
      <c r="K7" s="5">
        <f t="shared" si="2"/>
        <v>12.541237873130456</v>
      </c>
      <c r="L7" s="30">
        <f t="shared" si="6"/>
        <v>1.9894367886486917</v>
      </c>
      <c r="M7" s="8">
        <f t="shared" si="3"/>
        <v>1.1217224162525834</v>
      </c>
      <c r="N7" s="2">
        <v>10</v>
      </c>
      <c r="O7" s="2">
        <v>15</v>
      </c>
      <c r="P7" s="2">
        <v>10</v>
      </c>
      <c r="Q7" s="2"/>
      <c r="R7" s="2"/>
      <c r="S7" s="22">
        <f t="shared" si="4"/>
        <v>11.666666666666666</v>
      </c>
      <c r="T7" s="25">
        <f t="shared" si="5"/>
        <v>2.8867513459481304</v>
      </c>
    </row>
    <row r="8" spans="1:20" x14ac:dyDescent="0.2">
      <c r="A8" s="7" t="s">
        <v>0</v>
      </c>
      <c r="B8" s="1">
        <v>5</v>
      </c>
      <c r="C8" s="1">
        <v>12.5</v>
      </c>
      <c r="D8" s="1">
        <v>10</v>
      </c>
      <c r="E8" s="7">
        <v>16.48</v>
      </c>
      <c r="F8" s="1">
        <v>10</v>
      </c>
      <c r="G8" s="1">
        <v>5</v>
      </c>
      <c r="H8" s="7">
        <v>1</v>
      </c>
      <c r="I8" s="5">
        <f t="shared" si="0"/>
        <v>156.7654734141307</v>
      </c>
      <c r="J8" s="5">
        <f t="shared" si="1"/>
        <v>175.26912753946615</v>
      </c>
      <c r="K8" s="5">
        <f t="shared" si="2"/>
        <v>15.67654734141307</v>
      </c>
      <c r="L8" s="30">
        <f t="shared" si="6"/>
        <v>1.9894367886486917</v>
      </c>
      <c r="M8" s="8">
        <f t="shared" si="3"/>
        <v>1.4021530203157293</v>
      </c>
      <c r="N8" s="2">
        <v>11</v>
      </c>
      <c r="O8" s="2">
        <v>12</v>
      </c>
      <c r="P8" s="2">
        <v>10</v>
      </c>
      <c r="Q8" s="2"/>
      <c r="R8" s="2"/>
      <c r="S8" s="22">
        <f t="shared" si="4"/>
        <v>11</v>
      </c>
      <c r="T8" s="25">
        <f t="shared" si="5"/>
        <v>1</v>
      </c>
    </row>
    <row r="9" spans="1:20" x14ac:dyDescent="0.2">
      <c r="A9" s="7" t="s">
        <v>0</v>
      </c>
      <c r="B9" s="1">
        <v>5</v>
      </c>
      <c r="C9" s="1">
        <v>12.5</v>
      </c>
      <c r="D9" s="1">
        <v>10</v>
      </c>
      <c r="E9" s="7">
        <v>16.48</v>
      </c>
      <c r="F9" s="1">
        <v>10</v>
      </c>
      <c r="G9" s="1">
        <v>6</v>
      </c>
      <c r="H9" s="7">
        <v>1</v>
      </c>
      <c r="I9" s="5">
        <f t="shared" si="0"/>
        <v>188.11856809695681</v>
      </c>
      <c r="J9" s="5">
        <f t="shared" si="1"/>
        <v>210.32295304735933</v>
      </c>
      <c r="K9" s="5">
        <f t="shared" si="2"/>
        <v>18.81185680969568</v>
      </c>
      <c r="L9" s="30">
        <f t="shared" si="6"/>
        <v>1.9894367886486917</v>
      </c>
      <c r="M9" s="8">
        <f t="shared" si="3"/>
        <v>1.6825836243788745</v>
      </c>
      <c r="N9" s="2">
        <v>10</v>
      </c>
      <c r="O9" s="2">
        <v>12</v>
      </c>
      <c r="P9" s="2">
        <v>10</v>
      </c>
      <c r="Q9" s="2"/>
      <c r="R9" s="2"/>
      <c r="S9" s="22">
        <f t="shared" si="4"/>
        <v>10.666666666666666</v>
      </c>
      <c r="T9" s="25">
        <f t="shared" si="5"/>
        <v>1.1547005383792517</v>
      </c>
    </row>
    <row r="10" spans="1:20" x14ac:dyDescent="0.2">
      <c r="A10" s="7" t="s">
        <v>0</v>
      </c>
      <c r="B10" s="1">
        <v>5</v>
      </c>
      <c r="C10" s="1">
        <v>12.5</v>
      </c>
      <c r="D10" s="1">
        <v>10</v>
      </c>
      <c r="E10" s="7">
        <v>16.48</v>
      </c>
      <c r="F10" s="1">
        <v>10</v>
      </c>
      <c r="G10" s="1">
        <v>7</v>
      </c>
      <c r="H10" s="7">
        <v>1</v>
      </c>
      <c r="I10" s="5">
        <f t="shared" si="0"/>
        <v>219.47166277978295</v>
      </c>
      <c r="J10" s="5">
        <f t="shared" si="1"/>
        <v>245.37677855525257</v>
      </c>
      <c r="K10" s="5">
        <f t="shared" si="2"/>
        <v>21.947166277978294</v>
      </c>
      <c r="L10" s="30">
        <f t="shared" si="6"/>
        <v>1.9894367886486917</v>
      </c>
      <c r="M10" s="8">
        <f t="shared" si="3"/>
        <v>1.9630142284420207</v>
      </c>
      <c r="N10" s="2">
        <v>14</v>
      </c>
      <c r="O10" s="2">
        <v>14</v>
      </c>
      <c r="P10" s="2">
        <v>16</v>
      </c>
      <c r="Q10" s="2"/>
      <c r="R10" s="2"/>
      <c r="S10" s="22">
        <f t="shared" si="4"/>
        <v>14.666666666666666</v>
      </c>
      <c r="T10" s="25">
        <f t="shared" si="5"/>
        <v>1.1547005383792517</v>
      </c>
    </row>
    <row r="11" spans="1:20" x14ac:dyDescent="0.2">
      <c r="A11" s="7" t="s">
        <v>0</v>
      </c>
      <c r="B11" s="1">
        <v>5</v>
      </c>
      <c r="C11" s="1">
        <v>12.5</v>
      </c>
      <c r="D11" s="1">
        <v>10</v>
      </c>
      <c r="E11" s="7">
        <v>16.48</v>
      </c>
      <c r="F11" s="1">
        <v>10</v>
      </c>
      <c r="G11" s="1">
        <v>8</v>
      </c>
      <c r="H11" s="7">
        <v>1</v>
      </c>
      <c r="I11" s="5">
        <f t="shared" si="0"/>
        <v>250.82475746260911</v>
      </c>
      <c r="J11" s="5">
        <f t="shared" si="1"/>
        <v>280.43060406314584</v>
      </c>
      <c r="K11" s="5">
        <f t="shared" si="2"/>
        <v>25.082475746260911</v>
      </c>
      <c r="L11" s="30">
        <f t="shared" si="6"/>
        <v>1.9894367886486917</v>
      </c>
      <c r="M11" s="8">
        <f t="shared" si="3"/>
        <v>2.2434448325051668</v>
      </c>
      <c r="N11" s="2">
        <v>14</v>
      </c>
      <c r="O11" s="2">
        <v>15</v>
      </c>
      <c r="P11" s="2">
        <v>13</v>
      </c>
      <c r="Q11" s="2"/>
      <c r="R11" s="2"/>
      <c r="S11" s="22">
        <f t="shared" si="4"/>
        <v>14</v>
      </c>
      <c r="T11" s="25">
        <f t="shared" si="5"/>
        <v>1</v>
      </c>
    </row>
    <row r="12" spans="1:20" x14ac:dyDescent="0.2">
      <c r="A12" s="7" t="s">
        <v>0</v>
      </c>
      <c r="B12" s="1">
        <v>5</v>
      </c>
      <c r="C12" s="1">
        <v>12.5</v>
      </c>
      <c r="D12" s="1">
        <v>10</v>
      </c>
      <c r="E12" s="7">
        <v>16.48</v>
      </c>
      <c r="F12" s="1">
        <v>10</v>
      </c>
      <c r="G12" s="1">
        <v>1</v>
      </c>
      <c r="H12" s="7">
        <v>2</v>
      </c>
      <c r="I12" s="5">
        <f t="shared" si="0"/>
        <v>62.706189365652278</v>
      </c>
      <c r="J12" s="5">
        <f t="shared" si="1"/>
        <v>70.107651015786459</v>
      </c>
      <c r="K12" s="5">
        <f t="shared" si="2"/>
        <v>6.2706189365652278</v>
      </c>
      <c r="L12" s="30">
        <f t="shared" si="6"/>
        <v>0.99471839432434583</v>
      </c>
      <c r="M12" s="8">
        <f t="shared" si="3"/>
        <v>1.1217224162525834</v>
      </c>
      <c r="N12" s="2">
        <v>22</v>
      </c>
      <c r="O12" s="2">
        <v>29</v>
      </c>
      <c r="P12" s="2">
        <v>34</v>
      </c>
      <c r="Q12" s="2"/>
      <c r="R12" s="2"/>
      <c r="S12" s="22">
        <f t="shared" si="4"/>
        <v>28.333333333333332</v>
      </c>
      <c r="T12" s="25">
        <f t="shared" si="5"/>
        <v>6.0277137733417021</v>
      </c>
    </row>
    <row r="13" spans="1:20" x14ac:dyDescent="0.2">
      <c r="A13" s="7" t="s">
        <v>0</v>
      </c>
      <c r="B13" s="1">
        <v>5</v>
      </c>
      <c r="C13" s="1">
        <v>12.5</v>
      </c>
      <c r="D13" s="1">
        <v>10</v>
      </c>
      <c r="E13" s="7">
        <v>16.48</v>
      </c>
      <c r="F13" s="1">
        <v>10</v>
      </c>
      <c r="G13" s="1">
        <v>2</v>
      </c>
      <c r="H13" s="7">
        <v>2</v>
      </c>
      <c r="I13" s="5">
        <f t="shared" si="0"/>
        <v>125.41237873130456</v>
      </c>
      <c r="J13" s="5">
        <f t="shared" si="1"/>
        <v>140.21530203157292</v>
      </c>
      <c r="K13" s="5">
        <f t="shared" si="2"/>
        <v>12.541237873130456</v>
      </c>
      <c r="L13" s="30">
        <f t="shared" si="6"/>
        <v>0.99471839432434583</v>
      </c>
      <c r="M13" s="8">
        <f t="shared" si="3"/>
        <v>2.2434448325051668</v>
      </c>
      <c r="N13" s="2">
        <v>63</v>
      </c>
      <c r="O13" s="2">
        <v>58</v>
      </c>
      <c r="P13" s="2">
        <v>68</v>
      </c>
      <c r="Q13" s="2"/>
      <c r="R13" s="2"/>
      <c r="S13" s="22">
        <f t="shared" si="4"/>
        <v>63</v>
      </c>
      <c r="T13" s="25">
        <f t="shared" si="5"/>
        <v>5</v>
      </c>
    </row>
    <row r="14" spans="1:20" x14ac:dyDescent="0.2">
      <c r="A14" s="7" t="s">
        <v>0</v>
      </c>
      <c r="B14" s="1">
        <v>5</v>
      </c>
      <c r="C14" s="1">
        <v>12.5</v>
      </c>
      <c r="D14" s="1">
        <v>10</v>
      </c>
      <c r="E14" s="7">
        <v>16.48</v>
      </c>
      <c r="F14" s="1">
        <v>10</v>
      </c>
      <c r="G14" s="1">
        <v>3</v>
      </c>
      <c r="H14" s="7">
        <v>2</v>
      </c>
      <c r="I14" s="5">
        <f t="shared" si="0"/>
        <v>188.11856809695681</v>
      </c>
      <c r="J14" s="5">
        <f t="shared" si="1"/>
        <v>210.32295304735933</v>
      </c>
      <c r="K14" s="5">
        <f t="shared" si="2"/>
        <v>18.81185680969568</v>
      </c>
      <c r="L14" s="30">
        <f t="shared" si="6"/>
        <v>0.99471839432434583</v>
      </c>
      <c r="M14" s="8">
        <f t="shared" si="3"/>
        <v>3.3651672487577491</v>
      </c>
      <c r="N14" s="2">
        <v>90</v>
      </c>
      <c r="O14" s="2">
        <v>92</v>
      </c>
      <c r="P14" s="2">
        <v>88</v>
      </c>
      <c r="Q14" s="2"/>
      <c r="R14" s="2"/>
      <c r="S14" s="22">
        <f t="shared" si="4"/>
        <v>90</v>
      </c>
      <c r="T14" s="25">
        <f t="shared" si="5"/>
        <v>2</v>
      </c>
    </row>
    <row r="15" spans="1:20" x14ac:dyDescent="0.2">
      <c r="A15" s="7" t="s">
        <v>0</v>
      </c>
      <c r="B15" s="1">
        <v>5</v>
      </c>
      <c r="C15" s="1">
        <v>12.5</v>
      </c>
      <c r="D15" s="1">
        <v>10</v>
      </c>
      <c r="E15" s="7">
        <v>16.48</v>
      </c>
      <c r="F15" s="1">
        <v>10</v>
      </c>
      <c r="G15" s="1">
        <v>4</v>
      </c>
      <c r="H15" s="7">
        <v>2</v>
      </c>
      <c r="I15" s="5">
        <f t="shared" si="0"/>
        <v>250.82475746260911</v>
      </c>
      <c r="J15" s="5">
        <f t="shared" si="1"/>
        <v>280.43060406314584</v>
      </c>
      <c r="K15" s="5">
        <f t="shared" si="2"/>
        <v>25.082475746260911</v>
      </c>
      <c r="L15" s="30">
        <f t="shared" si="6"/>
        <v>0.99471839432434583</v>
      </c>
      <c r="M15" s="8">
        <f t="shared" si="3"/>
        <v>4.4868896650103336</v>
      </c>
      <c r="N15" s="2">
        <v>70</v>
      </c>
      <c r="P15" s="2">
        <v>72</v>
      </c>
      <c r="Q15" s="2"/>
      <c r="R15" s="2"/>
      <c r="S15" s="22">
        <f t="shared" si="4"/>
        <v>71</v>
      </c>
      <c r="T15" s="25">
        <f t="shared" si="5"/>
        <v>1.4142135623730951</v>
      </c>
    </row>
    <row r="16" spans="1:20" x14ac:dyDescent="0.2">
      <c r="A16" s="7" t="s">
        <v>0</v>
      </c>
      <c r="B16" s="1">
        <v>5</v>
      </c>
      <c r="C16" s="1">
        <v>12.5</v>
      </c>
      <c r="D16" s="1">
        <v>10</v>
      </c>
      <c r="E16" s="7">
        <v>16.48</v>
      </c>
      <c r="F16" s="1">
        <v>10</v>
      </c>
      <c r="G16" s="1">
        <v>5</v>
      </c>
      <c r="H16" s="7">
        <v>2</v>
      </c>
      <c r="I16" s="5">
        <f t="shared" si="0"/>
        <v>313.53094682826139</v>
      </c>
      <c r="J16" s="5">
        <f t="shared" si="1"/>
        <v>350.53825507893231</v>
      </c>
      <c r="K16" s="5">
        <f t="shared" si="2"/>
        <v>31.353094682826139</v>
      </c>
      <c r="L16" s="30">
        <f t="shared" si="6"/>
        <v>0.99471839432434583</v>
      </c>
      <c r="M16" s="8">
        <f t="shared" si="3"/>
        <v>5.6086120812629172</v>
      </c>
      <c r="N16" s="2">
        <v>40</v>
      </c>
      <c r="O16" s="2">
        <v>35</v>
      </c>
      <c r="P16" s="2">
        <v>65</v>
      </c>
      <c r="Q16" s="2"/>
      <c r="R16" s="2"/>
      <c r="S16" s="22">
        <f t="shared" si="4"/>
        <v>46.666666666666664</v>
      </c>
      <c r="T16" s="25">
        <f t="shared" si="5"/>
        <v>16.072751268321596</v>
      </c>
    </row>
    <row r="17" spans="1:20" x14ac:dyDescent="0.2">
      <c r="A17" s="7" t="s">
        <v>0</v>
      </c>
      <c r="B17" s="1">
        <v>5</v>
      </c>
      <c r="C17" s="1">
        <v>12.5</v>
      </c>
      <c r="D17" s="1">
        <v>10</v>
      </c>
      <c r="E17" s="7">
        <v>16.48</v>
      </c>
      <c r="F17" s="1">
        <v>10</v>
      </c>
      <c r="G17" s="1">
        <v>6</v>
      </c>
      <c r="H17" s="7">
        <v>2</v>
      </c>
      <c r="I17" s="5">
        <f t="shared" si="0"/>
        <v>376.23713619391361</v>
      </c>
      <c r="J17" s="5">
        <f t="shared" si="1"/>
        <v>420.64590609471867</v>
      </c>
      <c r="K17" s="5">
        <f t="shared" si="2"/>
        <v>37.62371361939136</v>
      </c>
      <c r="L17" s="30">
        <f t="shared" si="6"/>
        <v>0.99471839432434583</v>
      </c>
      <c r="M17" s="8">
        <f t="shared" si="3"/>
        <v>6.7303344975154982</v>
      </c>
      <c r="N17" s="2">
        <v>29</v>
      </c>
      <c r="O17" s="2">
        <v>30</v>
      </c>
      <c r="P17" s="2">
        <v>72</v>
      </c>
      <c r="Q17" s="2"/>
      <c r="R17" s="2"/>
      <c r="S17" s="22">
        <f t="shared" si="4"/>
        <v>43.666666666666664</v>
      </c>
      <c r="T17" s="25">
        <f t="shared" si="5"/>
        <v>24.542480178933292</v>
      </c>
    </row>
    <row r="18" spans="1:20" x14ac:dyDescent="0.2">
      <c r="A18" s="7" t="s">
        <v>0</v>
      </c>
      <c r="B18" s="1">
        <v>5</v>
      </c>
      <c r="C18" s="1">
        <v>12.5</v>
      </c>
      <c r="D18" s="1">
        <v>10</v>
      </c>
      <c r="E18" s="7">
        <v>16.48</v>
      </c>
      <c r="F18" s="1">
        <v>10</v>
      </c>
      <c r="G18" s="1">
        <v>7</v>
      </c>
      <c r="H18" s="7">
        <v>2</v>
      </c>
      <c r="I18" s="5">
        <f t="shared" si="0"/>
        <v>438.94332555956589</v>
      </c>
      <c r="J18" s="5">
        <f t="shared" si="1"/>
        <v>490.75355711050514</v>
      </c>
      <c r="K18" s="5">
        <f t="shared" si="2"/>
        <v>43.894332555956588</v>
      </c>
      <c r="L18" s="30">
        <f t="shared" si="6"/>
        <v>0.99471839432434583</v>
      </c>
      <c r="M18" s="8">
        <f t="shared" si="3"/>
        <v>7.8520569137680827</v>
      </c>
      <c r="N18" s="2">
        <v>40</v>
      </c>
      <c r="O18" s="2">
        <v>53</v>
      </c>
      <c r="P18" s="2">
        <v>80</v>
      </c>
      <c r="Q18" s="2"/>
      <c r="R18" s="2"/>
      <c r="S18" s="22">
        <f t="shared" si="4"/>
        <v>57.666666666666664</v>
      </c>
      <c r="T18" s="25">
        <f t="shared" si="5"/>
        <v>20.404247923737181</v>
      </c>
    </row>
    <row r="19" spans="1:20" x14ac:dyDescent="0.2">
      <c r="A19" s="7" t="s">
        <v>0</v>
      </c>
      <c r="B19" s="1">
        <v>5</v>
      </c>
      <c r="C19" s="1">
        <v>12.5</v>
      </c>
      <c r="D19" s="1">
        <v>10</v>
      </c>
      <c r="E19" s="7">
        <v>16.48</v>
      </c>
      <c r="F19" s="1">
        <v>10</v>
      </c>
      <c r="G19" s="1">
        <v>1</v>
      </c>
      <c r="H19" s="7">
        <v>3</v>
      </c>
      <c r="I19" s="5">
        <f t="shared" si="0"/>
        <v>94.059284048478403</v>
      </c>
      <c r="J19" s="5">
        <f t="shared" si="1"/>
        <v>105.16147652367967</v>
      </c>
      <c r="K19" s="5">
        <f t="shared" si="2"/>
        <v>9.40592840484784</v>
      </c>
      <c r="L19" s="30">
        <f t="shared" si="6"/>
        <v>0.66314559621623059</v>
      </c>
      <c r="M19" s="8">
        <f t="shared" si="3"/>
        <v>2.5238754365683116</v>
      </c>
      <c r="N19" s="2">
        <v>45</v>
      </c>
      <c r="O19" s="2">
        <v>34</v>
      </c>
      <c r="P19" s="2">
        <v>43</v>
      </c>
      <c r="Q19" s="2"/>
      <c r="R19" s="2"/>
      <c r="S19" s="22">
        <f t="shared" si="4"/>
        <v>40.666666666666664</v>
      </c>
      <c r="T19" s="25">
        <f t="shared" si="5"/>
        <v>5.8594652770823279</v>
      </c>
    </row>
    <row r="20" spans="1:20" x14ac:dyDescent="0.2">
      <c r="A20" s="7" t="s">
        <v>0</v>
      </c>
      <c r="B20" s="1">
        <v>5</v>
      </c>
      <c r="C20" s="1">
        <v>12.5</v>
      </c>
      <c r="D20" s="1">
        <v>10</v>
      </c>
      <c r="E20" s="7">
        <v>16.48</v>
      </c>
      <c r="F20" s="1">
        <v>10</v>
      </c>
      <c r="G20" s="1">
        <v>2</v>
      </c>
      <c r="H20" s="7">
        <v>3</v>
      </c>
      <c r="I20" s="5">
        <f t="shared" si="0"/>
        <v>188.11856809695681</v>
      </c>
      <c r="J20" s="5">
        <f t="shared" si="1"/>
        <v>210.32295304735933</v>
      </c>
      <c r="K20" s="5">
        <f t="shared" si="2"/>
        <v>18.81185680969568</v>
      </c>
      <c r="L20" s="30">
        <f t="shared" si="6"/>
        <v>0.66314559621623059</v>
      </c>
      <c r="M20" s="8">
        <f t="shared" si="3"/>
        <v>5.0477508731366232</v>
      </c>
      <c r="N20" s="2">
        <v>70</v>
      </c>
      <c r="O20" s="2">
        <v>64</v>
      </c>
      <c r="P20" s="2">
        <v>65</v>
      </c>
      <c r="Q20" s="2"/>
      <c r="R20" s="2"/>
      <c r="S20" s="22">
        <f t="shared" si="4"/>
        <v>66.333333333333329</v>
      </c>
      <c r="T20" s="25">
        <f t="shared" si="5"/>
        <v>3.214550253664318</v>
      </c>
    </row>
    <row r="21" spans="1:20" x14ac:dyDescent="0.2">
      <c r="A21" s="7" t="s">
        <v>0</v>
      </c>
      <c r="B21" s="1">
        <v>5</v>
      </c>
      <c r="C21" s="1">
        <v>12.5</v>
      </c>
      <c r="D21" s="1">
        <v>10</v>
      </c>
      <c r="E21" s="7">
        <v>16.48</v>
      </c>
      <c r="F21" s="1">
        <v>10</v>
      </c>
      <c r="G21" s="1">
        <v>3</v>
      </c>
      <c r="H21" s="7">
        <v>3</v>
      </c>
      <c r="I21" s="5">
        <f t="shared" si="0"/>
        <v>282.17785214543522</v>
      </c>
      <c r="J21" s="5">
        <f t="shared" si="1"/>
        <v>315.48442957103902</v>
      </c>
      <c r="K21" s="5">
        <f t="shared" si="2"/>
        <v>28.217785214543522</v>
      </c>
      <c r="L21" s="30">
        <f t="shared" si="6"/>
        <v>0.66314559621623059</v>
      </c>
      <c r="M21" s="8">
        <f t="shared" si="3"/>
        <v>7.5716263097049366</v>
      </c>
      <c r="N21" s="2">
        <v>40</v>
      </c>
      <c r="O21" s="2">
        <v>37</v>
      </c>
      <c r="P21" s="2">
        <v>40</v>
      </c>
      <c r="Q21" s="2"/>
      <c r="R21" s="2"/>
      <c r="S21" s="22">
        <f t="shared" si="4"/>
        <v>39</v>
      </c>
      <c r="T21" s="25">
        <f t="shared" si="5"/>
        <v>1.7320508075688772</v>
      </c>
    </row>
    <row r="22" spans="1:20" x14ac:dyDescent="0.2">
      <c r="A22" s="7" t="s">
        <v>0</v>
      </c>
      <c r="B22" s="1">
        <v>5</v>
      </c>
      <c r="C22" s="1">
        <v>12.5</v>
      </c>
      <c r="D22" s="1">
        <v>10</v>
      </c>
      <c r="E22" s="7">
        <v>16.48</v>
      </c>
      <c r="F22" s="1">
        <v>10</v>
      </c>
      <c r="G22" s="1">
        <v>4</v>
      </c>
      <c r="H22" s="7">
        <v>3</v>
      </c>
      <c r="I22" s="5">
        <f t="shared" si="0"/>
        <v>376.23713619391361</v>
      </c>
      <c r="J22" s="5">
        <f t="shared" si="1"/>
        <v>420.64590609471867</v>
      </c>
      <c r="K22" s="5">
        <f t="shared" si="2"/>
        <v>37.62371361939136</v>
      </c>
      <c r="L22" s="30">
        <f t="shared" si="6"/>
        <v>0.66314559621623059</v>
      </c>
      <c r="M22" s="8">
        <f t="shared" si="3"/>
        <v>10.095501746273246</v>
      </c>
      <c r="N22" s="2">
        <v>23</v>
      </c>
      <c r="O22" s="2">
        <v>25</v>
      </c>
      <c r="P22" s="2">
        <v>29</v>
      </c>
      <c r="Q22" s="2"/>
      <c r="R22" s="2"/>
      <c r="S22" s="22">
        <f t="shared" si="4"/>
        <v>25.666666666666668</v>
      </c>
      <c r="T22" s="25">
        <f t="shared" si="5"/>
        <v>3.0550504633038935</v>
      </c>
    </row>
    <row r="23" spans="1:20" x14ac:dyDescent="0.2">
      <c r="A23" s="7" t="s">
        <v>0</v>
      </c>
      <c r="B23" s="1">
        <v>5</v>
      </c>
      <c r="C23" s="1">
        <v>12.5</v>
      </c>
      <c r="D23" s="1">
        <v>10</v>
      </c>
      <c r="E23" s="7">
        <v>16.48</v>
      </c>
      <c r="F23" s="1">
        <v>10</v>
      </c>
      <c r="G23" s="1">
        <v>5</v>
      </c>
      <c r="H23" s="7">
        <v>3</v>
      </c>
      <c r="I23" s="5">
        <f t="shared" si="0"/>
        <v>470.29642024239212</v>
      </c>
      <c r="J23" s="5">
        <f t="shared" si="1"/>
        <v>525.80738261839849</v>
      </c>
      <c r="K23" s="5">
        <f t="shared" si="2"/>
        <v>47.029642024239209</v>
      </c>
      <c r="L23" s="30">
        <f t="shared" si="6"/>
        <v>0.66314559621623059</v>
      </c>
      <c r="M23" s="8">
        <f t="shared" si="3"/>
        <v>12.619377182841564</v>
      </c>
      <c r="N23" s="2">
        <v>20</v>
      </c>
      <c r="O23" s="2">
        <v>20</v>
      </c>
      <c r="P23" s="2">
        <v>19</v>
      </c>
      <c r="Q23" s="2"/>
      <c r="R23" s="2"/>
      <c r="S23" s="22">
        <f t="shared" si="4"/>
        <v>19.666666666666668</v>
      </c>
      <c r="T23" s="25">
        <f t="shared" si="5"/>
        <v>0.57735026918962584</v>
      </c>
    </row>
    <row r="24" spans="1:20" x14ac:dyDescent="0.2">
      <c r="A24" s="7" t="s">
        <v>0</v>
      </c>
      <c r="B24" s="1">
        <v>5</v>
      </c>
      <c r="C24" s="1">
        <v>12.5</v>
      </c>
      <c r="D24" s="1">
        <v>10</v>
      </c>
      <c r="E24" s="7">
        <v>16.48</v>
      </c>
      <c r="F24" s="1">
        <v>10</v>
      </c>
      <c r="G24" s="1">
        <v>6</v>
      </c>
      <c r="H24" s="7">
        <v>3</v>
      </c>
      <c r="I24" s="5">
        <f t="shared" si="0"/>
        <v>564.35570429087045</v>
      </c>
      <c r="J24" s="5">
        <f t="shared" si="1"/>
        <v>630.96885914207803</v>
      </c>
      <c r="K24" s="5">
        <f t="shared" si="2"/>
        <v>56.435570429087043</v>
      </c>
      <c r="L24" s="30">
        <f t="shared" si="6"/>
        <v>0.66314559621623059</v>
      </c>
      <c r="M24" s="8">
        <f t="shared" si="3"/>
        <v>15.143252619409873</v>
      </c>
      <c r="N24" s="2">
        <v>19</v>
      </c>
      <c r="O24" s="2">
        <v>20</v>
      </c>
      <c r="P24" s="2">
        <v>40</v>
      </c>
      <c r="Q24" s="2"/>
      <c r="R24" s="2"/>
      <c r="S24" s="22">
        <f t="shared" si="4"/>
        <v>26.333333333333332</v>
      </c>
      <c r="T24" s="25">
        <f t="shared" si="5"/>
        <v>11.84623709594457</v>
      </c>
    </row>
    <row r="25" spans="1:20" x14ac:dyDescent="0.2">
      <c r="A25" s="7" t="s">
        <v>0</v>
      </c>
      <c r="B25" s="1">
        <v>5</v>
      </c>
      <c r="C25" s="1">
        <v>12.5</v>
      </c>
      <c r="D25" s="1">
        <v>10</v>
      </c>
      <c r="E25" s="7">
        <v>16.48</v>
      </c>
      <c r="F25" s="1">
        <v>10</v>
      </c>
      <c r="G25" s="1">
        <v>1</v>
      </c>
      <c r="H25" s="7">
        <v>4</v>
      </c>
      <c r="I25" s="5">
        <f t="shared" si="0"/>
        <v>125.41237873130456</v>
      </c>
      <c r="J25" s="5">
        <f t="shared" si="1"/>
        <v>140.21530203157292</v>
      </c>
      <c r="K25" s="5">
        <f t="shared" si="2"/>
        <v>12.541237873130456</v>
      </c>
      <c r="L25" s="30">
        <f t="shared" si="6"/>
        <v>0.49735919716217292</v>
      </c>
      <c r="M25" s="8">
        <f t="shared" si="3"/>
        <v>4.4868896650103336</v>
      </c>
      <c r="N25" s="2">
        <v>63</v>
      </c>
      <c r="O25" s="2">
        <v>62</v>
      </c>
      <c r="P25" s="2">
        <v>39</v>
      </c>
      <c r="Q25" s="2"/>
      <c r="R25" s="2"/>
      <c r="S25" s="22">
        <f t="shared" si="4"/>
        <v>54.666666666666664</v>
      </c>
      <c r="T25" s="25">
        <f t="shared" si="5"/>
        <v>13.576941236277523</v>
      </c>
    </row>
    <row r="26" spans="1:20" x14ac:dyDescent="0.2">
      <c r="A26" s="7" t="s">
        <v>0</v>
      </c>
      <c r="B26" s="1">
        <v>5</v>
      </c>
      <c r="C26" s="1">
        <v>12.5</v>
      </c>
      <c r="D26" s="1">
        <v>10</v>
      </c>
      <c r="E26" s="7">
        <v>16.48</v>
      </c>
      <c r="F26" s="1">
        <v>10</v>
      </c>
      <c r="G26" s="1">
        <v>2</v>
      </c>
      <c r="H26" s="7">
        <v>4</v>
      </c>
      <c r="I26" s="5">
        <f t="shared" si="0"/>
        <v>250.82475746260911</v>
      </c>
      <c r="J26" s="5">
        <f t="shared" si="1"/>
        <v>280.43060406314584</v>
      </c>
      <c r="K26" s="5">
        <f t="shared" si="2"/>
        <v>25.082475746260911</v>
      </c>
      <c r="L26" s="30">
        <f t="shared" si="6"/>
        <v>0.49735919716217292</v>
      </c>
      <c r="M26" s="8">
        <f t="shared" si="3"/>
        <v>8.9737793300206672</v>
      </c>
      <c r="N26" s="2">
        <v>25</v>
      </c>
      <c r="O26" s="2">
        <v>40</v>
      </c>
      <c r="P26" s="2">
        <v>36</v>
      </c>
      <c r="Q26" s="2"/>
      <c r="R26" s="2"/>
      <c r="S26" s="22">
        <f t="shared" si="4"/>
        <v>33.666666666666664</v>
      </c>
      <c r="T26" s="25">
        <f t="shared" si="5"/>
        <v>7.7674534651540244</v>
      </c>
    </row>
    <row r="27" spans="1:20" x14ac:dyDescent="0.2">
      <c r="A27" s="7" t="s">
        <v>0</v>
      </c>
      <c r="B27" s="1">
        <v>5</v>
      </c>
      <c r="C27" s="1">
        <v>12.5</v>
      </c>
      <c r="D27" s="1">
        <v>10</v>
      </c>
      <c r="E27" s="7">
        <v>16.48</v>
      </c>
      <c r="F27" s="1">
        <v>10</v>
      </c>
      <c r="G27" s="1">
        <v>3</v>
      </c>
      <c r="H27" s="7">
        <v>4</v>
      </c>
      <c r="I27" s="5">
        <f t="shared" si="0"/>
        <v>376.23713619391361</v>
      </c>
      <c r="J27" s="5">
        <f t="shared" si="1"/>
        <v>420.64590609471867</v>
      </c>
      <c r="K27" s="5">
        <f t="shared" si="2"/>
        <v>37.62371361939136</v>
      </c>
      <c r="L27" s="30">
        <f t="shared" si="6"/>
        <v>0.49735919716217292</v>
      </c>
      <c r="M27" s="8">
        <f t="shared" si="3"/>
        <v>13.460668995030996</v>
      </c>
      <c r="N27" s="2">
        <v>19</v>
      </c>
      <c r="O27" s="2">
        <v>25</v>
      </c>
      <c r="P27" s="2">
        <v>23</v>
      </c>
      <c r="Q27" s="2"/>
      <c r="R27" s="2"/>
      <c r="S27" s="22">
        <f t="shared" si="4"/>
        <v>22.333333333333332</v>
      </c>
      <c r="T27" s="25">
        <f t="shared" si="5"/>
        <v>3.0550504633038997</v>
      </c>
    </row>
    <row r="28" spans="1:20" x14ac:dyDescent="0.2">
      <c r="A28" s="7" t="s">
        <v>0</v>
      </c>
      <c r="B28" s="1">
        <v>5</v>
      </c>
      <c r="C28" s="1">
        <v>12.5</v>
      </c>
      <c r="D28" s="1">
        <v>10</v>
      </c>
      <c r="E28" s="7">
        <v>16.48</v>
      </c>
      <c r="F28" s="1">
        <v>10</v>
      </c>
      <c r="G28" s="1">
        <v>4</v>
      </c>
      <c r="H28" s="7">
        <v>4</v>
      </c>
      <c r="I28" s="5">
        <f t="shared" si="0"/>
        <v>501.64951492521823</v>
      </c>
      <c r="J28" s="5">
        <f t="shared" si="1"/>
        <v>560.86120812629167</v>
      </c>
      <c r="K28" s="5">
        <f t="shared" si="2"/>
        <v>50.164951492521823</v>
      </c>
      <c r="L28" s="30">
        <f t="shared" si="6"/>
        <v>0.49735919716217292</v>
      </c>
      <c r="M28" s="8">
        <f t="shared" si="3"/>
        <v>17.947558660041334</v>
      </c>
      <c r="N28" s="2">
        <v>14</v>
      </c>
      <c r="O28" s="2">
        <v>16</v>
      </c>
      <c r="P28" s="2">
        <v>18</v>
      </c>
      <c r="Q28" s="2"/>
      <c r="R28" s="2"/>
      <c r="S28" s="22">
        <f t="shared" si="4"/>
        <v>16</v>
      </c>
      <c r="T28" s="25">
        <f t="shared" si="5"/>
        <v>2</v>
      </c>
    </row>
    <row r="29" spans="1:20" x14ac:dyDescent="0.2">
      <c r="A29" s="7" t="s">
        <v>0</v>
      </c>
      <c r="B29" s="1">
        <v>5</v>
      </c>
      <c r="C29" s="1">
        <v>12.5</v>
      </c>
      <c r="D29" s="1">
        <v>10</v>
      </c>
      <c r="E29" s="7">
        <v>16.48</v>
      </c>
      <c r="F29" s="1">
        <v>10</v>
      </c>
      <c r="G29" s="1">
        <v>5</v>
      </c>
      <c r="H29" s="7">
        <v>4</v>
      </c>
      <c r="I29" s="5">
        <f t="shared" si="0"/>
        <v>627.06189365652278</v>
      </c>
      <c r="J29" s="5">
        <f t="shared" si="1"/>
        <v>701.07651015786462</v>
      </c>
      <c r="K29" s="5">
        <f t="shared" si="2"/>
        <v>62.706189365652278</v>
      </c>
      <c r="L29" s="30">
        <f t="shared" si="6"/>
        <v>0.49735919716217292</v>
      </c>
      <c r="M29" s="8">
        <f t="shared" si="3"/>
        <v>22.434448325051669</v>
      </c>
      <c r="N29" s="2">
        <v>12</v>
      </c>
      <c r="O29" s="2">
        <v>14</v>
      </c>
      <c r="P29" s="2">
        <v>15</v>
      </c>
      <c r="Q29" s="2"/>
      <c r="R29" s="2"/>
      <c r="S29" s="22">
        <f t="shared" si="4"/>
        <v>13.666666666666666</v>
      </c>
      <c r="T29" s="25">
        <f t="shared" si="5"/>
        <v>1.5275252316519468</v>
      </c>
    </row>
    <row r="30" spans="1:20" x14ac:dyDescent="0.2">
      <c r="A30" s="7" t="s">
        <v>0</v>
      </c>
      <c r="B30" s="1">
        <v>5</v>
      </c>
      <c r="C30" s="1">
        <v>12.5</v>
      </c>
      <c r="D30" s="1">
        <v>10</v>
      </c>
      <c r="E30" s="7">
        <v>16.48</v>
      </c>
      <c r="F30" s="1">
        <v>10</v>
      </c>
      <c r="G30" s="1">
        <v>6</v>
      </c>
      <c r="H30" s="7">
        <v>4</v>
      </c>
      <c r="I30" s="5">
        <f t="shared" si="0"/>
        <v>752.47427238782723</v>
      </c>
      <c r="J30" s="5">
        <f t="shared" si="1"/>
        <v>841.29181218943734</v>
      </c>
      <c r="K30" s="5">
        <f t="shared" si="2"/>
        <v>75.24742723878272</v>
      </c>
      <c r="L30" s="30">
        <f t="shared" si="6"/>
        <v>0.49735919716217292</v>
      </c>
      <c r="M30" s="8">
        <f t="shared" si="3"/>
        <v>26.921337990061993</v>
      </c>
      <c r="N30" s="2">
        <v>11</v>
      </c>
      <c r="O30" s="2">
        <v>17</v>
      </c>
      <c r="P30" s="2">
        <v>17</v>
      </c>
      <c r="Q30" s="2"/>
      <c r="R30" s="2"/>
      <c r="S30" s="22">
        <f t="shared" si="4"/>
        <v>15</v>
      </c>
      <c r="T30" s="25">
        <f t="shared" si="5"/>
        <v>3.4641016151377544</v>
      </c>
    </row>
    <row r="31" spans="1:20" x14ac:dyDescent="0.2">
      <c r="A31" s="7" t="s">
        <v>0</v>
      </c>
      <c r="B31" s="1">
        <v>5</v>
      </c>
      <c r="C31" s="1">
        <v>12.5</v>
      </c>
      <c r="D31" s="1">
        <v>10</v>
      </c>
      <c r="E31" s="7">
        <v>16.48</v>
      </c>
      <c r="F31" s="1">
        <v>10</v>
      </c>
      <c r="G31" s="1">
        <v>1</v>
      </c>
      <c r="H31" s="7">
        <v>8</v>
      </c>
      <c r="I31" s="5">
        <f t="shared" si="0"/>
        <v>250.82475746260911</v>
      </c>
      <c r="J31" s="5">
        <f t="shared" si="1"/>
        <v>280.43060406314584</v>
      </c>
      <c r="K31" s="5">
        <f t="shared" si="2"/>
        <v>25.082475746260911</v>
      </c>
      <c r="L31" s="30">
        <f t="shared" si="6"/>
        <v>0.24867959858108646</v>
      </c>
      <c r="M31" s="8">
        <f t="shared" si="3"/>
        <v>17.947558660041334</v>
      </c>
      <c r="N31" s="2">
        <v>13</v>
      </c>
      <c r="O31" s="2">
        <v>13</v>
      </c>
      <c r="P31" s="2">
        <v>14</v>
      </c>
      <c r="Q31" s="2"/>
      <c r="R31" s="2"/>
      <c r="S31" s="22">
        <f t="shared" si="4"/>
        <v>13.333333333333334</v>
      </c>
      <c r="T31" s="25">
        <f t="shared" si="5"/>
        <v>0.57735026918962573</v>
      </c>
    </row>
    <row r="32" spans="1:20" x14ac:dyDescent="0.2">
      <c r="A32" s="7" t="s">
        <v>0</v>
      </c>
      <c r="B32" s="1">
        <v>5</v>
      </c>
      <c r="C32" s="1">
        <v>12.5</v>
      </c>
      <c r="D32" s="1">
        <v>10</v>
      </c>
      <c r="E32" s="7">
        <v>16.48</v>
      </c>
      <c r="F32" s="1">
        <v>10</v>
      </c>
      <c r="G32" s="1">
        <v>2</v>
      </c>
      <c r="H32" s="7">
        <v>8</v>
      </c>
      <c r="I32" s="5">
        <f t="shared" si="0"/>
        <v>501.64951492521823</v>
      </c>
      <c r="J32" s="5">
        <f t="shared" si="1"/>
        <v>560.86120812629167</v>
      </c>
      <c r="K32" s="5">
        <f t="shared" si="2"/>
        <v>50.164951492521823</v>
      </c>
      <c r="L32" s="30">
        <f t="shared" si="6"/>
        <v>0.24867959858108646</v>
      </c>
      <c r="M32" s="8">
        <f t="shared" si="3"/>
        <v>35.895117320082669</v>
      </c>
      <c r="N32" s="2">
        <v>9</v>
      </c>
      <c r="O32" s="2">
        <v>9</v>
      </c>
      <c r="P32" s="2">
        <v>9</v>
      </c>
      <c r="Q32" s="2"/>
      <c r="R32" s="2"/>
      <c r="S32" s="22">
        <f t="shared" si="4"/>
        <v>9</v>
      </c>
      <c r="T32" s="25">
        <f t="shared" si="5"/>
        <v>0</v>
      </c>
    </row>
    <row r="33" spans="1:20" x14ac:dyDescent="0.2">
      <c r="A33" s="7" t="s">
        <v>0</v>
      </c>
      <c r="B33" s="1">
        <v>5</v>
      </c>
      <c r="C33" s="1">
        <v>12.5</v>
      </c>
      <c r="D33" s="1">
        <v>10</v>
      </c>
      <c r="E33" s="7">
        <v>16.48</v>
      </c>
      <c r="F33" s="1">
        <v>10</v>
      </c>
      <c r="G33" s="1">
        <v>3</v>
      </c>
      <c r="H33" s="7">
        <v>8</v>
      </c>
      <c r="I33" s="5">
        <f t="shared" si="0"/>
        <v>752.47427238782723</v>
      </c>
      <c r="J33" s="5">
        <f t="shared" si="1"/>
        <v>841.29181218943734</v>
      </c>
      <c r="K33" s="5">
        <f t="shared" si="2"/>
        <v>75.24742723878272</v>
      </c>
      <c r="L33" s="30">
        <f t="shared" si="6"/>
        <v>0.24867959858108646</v>
      </c>
      <c r="M33" s="8">
        <f t="shared" si="3"/>
        <v>53.842675980123985</v>
      </c>
      <c r="N33" s="2">
        <v>7</v>
      </c>
      <c r="O33" s="2">
        <v>8</v>
      </c>
      <c r="P33" s="2">
        <v>8</v>
      </c>
      <c r="Q33" s="2"/>
      <c r="R33" s="2"/>
      <c r="S33" s="22">
        <f t="shared" si="4"/>
        <v>7.666666666666667</v>
      </c>
      <c r="T33" s="25">
        <f t="shared" si="5"/>
        <v>0.57735026918962584</v>
      </c>
    </row>
    <row r="34" spans="1:20" x14ac:dyDescent="0.2">
      <c r="A34" s="7" t="s">
        <v>0</v>
      </c>
      <c r="B34" s="1">
        <v>5</v>
      </c>
      <c r="C34" s="1">
        <v>12.5</v>
      </c>
      <c r="D34" s="1">
        <v>10</v>
      </c>
      <c r="E34" s="7">
        <v>16.48</v>
      </c>
      <c r="F34" s="1">
        <v>10</v>
      </c>
      <c r="G34" s="1">
        <v>4</v>
      </c>
      <c r="H34" s="7">
        <v>8</v>
      </c>
      <c r="I34" s="5">
        <f t="shared" si="0"/>
        <v>1003.2990298504365</v>
      </c>
      <c r="J34" s="5">
        <f t="shared" si="1"/>
        <v>1121.7224162525833</v>
      </c>
      <c r="K34" s="5">
        <f t="shared" si="2"/>
        <v>100.32990298504365</v>
      </c>
      <c r="L34" s="30">
        <f t="shared" si="6"/>
        <v>0.24867959858108646</v>
      </c>
      <c r="M34" s="8">
        <f t="shared" si="3"/>
        <v>71.790234640165338</v>
      </c>
      <c r="N34" s="2">
        <v>6</v>
      </c>
      <c r="O34" s="2">
        <v>7</v>
      </c>
      <c r="P34" s="2">
        <v>7</v>
      </c>
      <c r="Q34" s="2"/>
      <c r="R34" s="2"/>
      <c r="S34" s="22">
        <f t="shared" si="4"/>
        <v>6.666666666666667</v>
      </c>
      <c r="T34" s="25">
        <f t="shared" si="5"/>
        <v>0.57735026918962584</v>
      </c>
    </row>
    <row r="35" spans="1:20" x14ac:dyDescent="0.2">
      <c r="A35" s="7" t="s">
        <v>0</v>
      </c>
      <c r="B35" s="1">
        <v>5</v>
      </c>
      <c r="C35" s="1">
        <v>12.5</v>
      </c>
      <c r="D35" s="1">
        <v>10</v>
      </c>
      <c r="E35" s="7">
        <v>16.48</v>
      </c>
      <c r="F35" s="1">
        <v>20</v>
      </c>
      <c r="G35" s="1">
        <v>0</v>
      </c>
      <c r="H35" s="7">
        <v>0</v>
      </c>
      <c r="I35" s="5">
        <f t="shared" si="0"/>
        <v>0</v>
      </c>
      <c r="J35" s="5">
        <f t="shared" si="1"/>
        <v>0</v>
      </c>
      <c r="K35" s="5">
        <f t="shared" si="2"/>
        <v>0</v>
      </c>
      <c r="L35" s="30" t="e">
        <f t="shared" si="6"/>
        <v>#DIV/0!</v>
      </c>
      <c r="M35" s="8">
        <f t="shared" si="3"/>
        <v>0</v>
      </c>
      <c r="N35" s="2">
        <v>13</v>
      </c>
      <c r="O35" s="2">
        <v>11</v>
      </c>
      <c r="P35" s="2">
        <v>14</v>
      </c>
      <c r="Q35" s="2"/>
      <c r="R35" s="2"/>
      <c r="S35" s="22">
        <f t="shared" si="4"/>
        <v>12.666666666666666</v>
      </c>
      <c r="T35" s="25">
        <f t="shared" si="5"/>
        <v>1.5275252316519468</v>
      </c>
    </row>
    <row r="36" spans="1:20" x14ac:dyDescent="0.2">
      <c r="A36" s="7" t="s">
        <v>0</v>
      </c>
      <c r="B36" s="1">
        <v>5</v>
      </c>
      <c r="C36" s="1">
        <v>12.5</v>
      </c>
      <c r="D36" s="1">
        <v>10</v>
      </c>
      <c r="E36" s="7">
        <v>16.48</v>
      </c>
      <c r="F36" s="1">
        <v>20</v>
      </c>
      <c r="G36" s="1">
        <v>1</v>
      </c>
      <c r="H36" s="7">
        <v>1</v>
      </c>
      <c r="I36" s="5">
        <f t="shared" si="0"/>
        <v>31.353094682826139</v>
      </c>
      <c r="J36" s="5">
        <f t="shared" si="1"/>
        <v>35.053825507893229</v>
      </c>
      <c r="K36" s="5">
        <f t="shared" si="2"/>
        <v>1.567654734141307</v>
      </c>
      <c r="L36" s="30">
        <f t="shared" si="6"/>
        <v>1.9894367886486917</v>
      </c>
      <c r="M36" s="8">
        <f t="shared" si="3"/>
        <v>0.14021530203157292</v>
      </c>
      <c r="N36" s="2">
        <v>10</v>
      </c>
      <c r="O36" s="2">
        <v>12</v>
      </c>
      <c r="P36" s="2">
        <v>10</v>
      </c>
      <c r="Q36" s="2"/>
      <c r="R36" s="2"/>
      <c r="S36" s="22">
        <f t="shared" si="4"/>
        <v>10.666666666666666</v>
      </c>
      <c r="T36" s="25">
        <f t="shared" si="5"/>
        <v>1.1547005383792517</v>
      </c>
    </row>
    <row r="37" spans="1:20" x14ac:dyDescent="0.2">
      <c r="A37" s="7" t="s">
        <v>0</v>
      </c>
      <c r="B37" s="1">
        <v>5</v>
      </c>
      <c r="C37" s="1">
        <v>12.5</v>
      </c>
      <c r="D37" s="1">
        <v>10</v>
      </c>
      <c r="E37" s="7">
        <v>16.48</v>
      </c>
      <c r="F37" s="1">
        <v>20</v>
      </c>
      <c r="G37" s="1">
        <v>2</v>
      </c>
      <c r="H37" s="7">
        <v>1</v>
      </c>
      <c r="I37" s="5">
        <f t="shared" si="0"/>
        <v>62.706189365652278</v>
      </c>
      <c r="J37" s="5">
        <f t="shared" si="1"/>
        <v>70.107651015786459</v>
      </c>
      <c r="K37" s="5">
        <f t="shared" si="2"/>
        <v>3.1353094682826139</v>
      </c>
      <c r="L37" s="30">
        <f t="shared" si="6"/>
        <v>1.9894367886486917</v>
      </c>
      <c r="M37" s="8">
        <f t="shared" si="3"/>
        <v>0.28043060406314585</v>
      </c>
      <c r="N37" s="2">
        <v>13</v>
      </c>
      <c r="O37" s="2">
        <v>15</v>
      </c>
      <c r="P37" s="2">
        <v>10</v>
      </c>
      <c r="Q37" s="2"/>
      <c r="R37" s="2"/>
      <c r="S37" s="22">
        <f t="shared" si="4"/>
        <v>12.666666666666666</v>
      </c>
      <c r="T37" s="25">
        <f t="shared" si="5"/>
        <v>2.5166114784235849</v>
      </c>
    </row>
    <row r="38" spans="1:20" x14ac:dyDescent="0.2">
      <c r="A38" s="7" t="s">
        <v>0</v>
      </c>
      <c r="B38" s="1">
        <v>5</v>
      </c>
      <c r="C38" s="1">
        <v>12.5</v>
      </c>
      <c r="D38" s="1">
        <v>10</v>
      </c>
      <c r="E38" s="7">
        <v>16.48</v>
      </c>
      <c r="F38" s="1">
        <v>20</v>
      </c>
      <c r="G38" s="1">
        <v>3</v>
      </c>
      <c r="H38" s="7">
        <v>1</v>
      </c>
      <c r="I38" s="5">
        <f t="shared" si="0"/>
        <v>94.059284048478403</v>
      </c>
      <c r="J38" s="5">
        <f t="shared" si="1"/>
        <v>105.16147652367967</v>
      </c>
      <c r="K38" s="5">
        <f t="shared" si="2"/>
        <v>4.70296420242392</v>
      </c>
      <c r="L38" s="30">
        <f t="shared" si="6"/>
        <v>1.9894367886486917</v>
      </c>
      <c r="M38" s="8">
        <f t="shared" si="3"/>
        <v>0.42064590609471864</v>
      </c>
      <c r="N38" s="2">
        <v>11</v>
      </c>
      <c r="P38" s="2">
        <v>11</v>
      </c>
      <c r="Q38" s="2"/>
      <c r="R38" s="2"/>
      <c r="S38" s="22">
        <f t="shared" si="4"/>
        <v>11</v>
      </c>
      <c r="T38" s="25">
        <f t="shared" si="5"/>
        <v>0</v>
      </c>
    </row>
    <row r="39" spans="1:20" x14ac:dyDescent="0.2">
      <c r="A39" s="7" t="s">
        <v>0</v>
      </c>
      <c r="B39" s="1">
        <v>5</v>
      </c>
      <c r="C39" s="1">
        <v>12.5</v>
      </c>
      <c r="D39" s="1">
        <v>10</v>
      </c>
      <c r="E39" s="7">
        <v>16.48</v>
      </c>
      <c r="F39" s="1">
        <v>20</v>
      </c>
      <c r="G39" s="1">
        <v>4</v>
      </c>
      <c r="H39" s="7">
        <v>1</v>
      </c>
      <c r="I39" s="5">
        <f t="shared" si="0"/>
        <v>125.41237873130456</v>
      </c>
      <c r="J39" s="5">
        <f t="shared" si="1"/>
        <v>140.21530203157292</v>
      </c>
      <c r="K39" s="5">
        <f t="shared" si="2"/>
        <v>6.2706189365652278</v>
      </c>
      <c r="L39" s="30">
        <f t="shared" si="6"/>
        <v>1.9894367886486917</v>
      </c>
      <c r="M39" s="8">
        <f t="shared" si="3"/>
        <v>0.5608612081262917</v>
      </c>
      <c r="N39" s="2">
        <v>14</v>
      </c>
      <c r="O39" s="2">
        <v>15</v>
      </c>
      <c r="P39" s="2">
        <v>10</v>
      </c>
      <c r="Q39" s="2"/>
      <c r="R39" s="2"/>
      <c r="S39" s="22">
        <f t="shared" si="4"/>
        <v>13</v>
      </c>
      <c r="T39" s="25">
        <f t="shared" si="5"/>
        <v>2.6457513110645907</v>
      </c>
    </row>
    <row r="40" spans="1:20" x14ac:dyDescent="0.2">
      <c r="A40" s="7" t="s">
        <v>0</v>
      </c>
      <c r="B40" s="1">
        <v>5</v>
      </c>
      <c r="C40" s="1">
        <v>12.5</v>
      </c>
      <c r="D40" s="1">
        <v>10</v>
      </c>
      <c r="E40" s="7">
        <v>16.48</v>
      </c>
      <c r="F40" s="1">
        <v>20</v>
      </c>
      <c r="G40" s="1">
        <v>5</v>
      </c>
      <c r="H40" s="7">
        <v>1</v>
      </c>
      <c r="I40" s="5">
        <f t="shared" si="0"/>
        <v>156.7654734141307</v>
      </c>
      <c r="J40" s="5">
        <f t="shared" si="1"/>
        <v>175.26912753946615</v>
      </c>
      <c r="K40" s="5">
        <f t="shared" si="2"/>
        <v>7.8382736707065348</v>
      </c>
      <c r="L40" s="30">
        <f t="shared" si="6"/>
        <v>1.9894367886486917</v>
      </c>
      <c r="M40" s="8">
        <f t="shared" si="3"/>
        <v>0.70107651015786465</v>
      </c>
      <c r="N40" s="2">
        <v>12</v>
      </c>
      <c r="O40" s="2">
        <v>15</v>
      </c>
      <c r="P40" s="2">
        <v>12</v>
      </c>
      <c r="Q40" s="2"/>
      <c r="R40" s="2"/>
      <c r="S40" s="22">
        <f t="shared" si="4"/>
        <v>13</v>
      </c>
      <c r="T40" s="25">
        <f t="shared" si="5"/>
        <v>1.7320508075688772</v>
      </c>
    </row>
    <row r="41" spans="1:20" x14ac:dyDescent="0.2">
      <c r="A41" s="7" t="s">
        <v>0</v>
      </c>
      <c r="B41" s="1">
        <v>5</v>
      </c>
      <c r="C41" s="1">
        <v>12.5</v>
      </c>
      <c r="D41" s="1">
        <v>10</v>
      </c>
      <c r="E41" s="7">
        <v>16.48</v>
      </c>
      <c r="F41" s="1">
        <v>20</v>
      </c>
      <c r="G41" s="1">
        <v>6</v>
      </c>
      <c r="H41" s="7">
        <v>1</v>
      </c>
      <c r="I41" s="5">
        <f t="shared" si="0"/>
        <v>188.11856809695681</v>
      </c>
      <c r="J41" s="5">
        <f t="shared" si="1"/>
        <v>210.32295304735933</v>
      </c>
      <c r="K41" s="5">
        <f t="shared" si="2"/>
        <v>9.40592840484784</v>
      </c>
      <c r="L41" s="30">
        <f t="shared" si="6"/>
        <v>1.9894367886486917</v>
      </c>
      <c r="M41" s="8">
        <f t="shared" si="3"/>
        <v>0.84129181218943727</v>
      </c>
      <c r="N41" s="2">
        <v>13</v>
      </c>
      <c r="O41" s="2">
        <v>15</v>
      </c>
      <c r="P41" s="2">
        <v>13</v>
      </c>
      <c r="Q41" s="2"/>
      <c r="R41" s="2"/>
      <c r="S41" s="22">
        <f t="shared" si="4"/>
        <v>13.666666666666666</v>
      </c>
      <c r="T41" s="25">
        <f t="shared" si="5"/>
        <v>1.1547005383792517</v>
      </c>
    </row>
    <row r="42" spans="1:20" x14ac:dyDescent="0.2">
      <c r="A42" s="7" t="s">
        <v>0</v>
      </c>
      <c r="B42" s="1">
        <v>5</v>
      </c>
      <c r="C42" s="1">
        <v>12.5</v>
      </c>
      <c r="D42" s="1">
        <v>10</v>
      </c>
      <c r="E42" s="7">
        <v>16.48</v>
      </c>
      <c r="F42" s="1">
        <v>20</v>
      </c>
      <c r="G42" s="1">
        <v>7</v>
      </c>
      <c r="H42" s="7">
        <v>1</v>
      </c>
      <c r="I42" s="5">
        <f t="shared" si="0"/>
        <v>219.47166277978295</v>
      </c>
      <c r="J42" s="5">
        <f t="shared" si="1"/>
        <v>245.37677855525257</v>
      </c>
      <c r="K42" s="5">
        <f t="shared" si="2"/>
        <v>10.973583138989147</v>
      </c>
      <c r="L42" s="30">
        <f t="shared" si="6"/>
        <v>1.9894367886486917</v>
      </c>
      <c r="M42" s="8">
        <f t="shared" si="3"/>
        <v>0.98150711422101033</v>
      </c>
      <c r="N42" s="2">
        <v>17</v>
      </c>
      <c r="O42" s="2">
        <v>16</v>
      </c>
      <c r="P42" s="2">
        <v>15</v>
      </c>
      <c r="Q42" s="2"/>
      <c r="R42" s="2"/>
      <c r="S42" s="22">
        <f t="shared" si="4"/>
        <v>16</v>
      </c>
      <c r="T42" s="25">
        <f t="shared" si="5"/>
        <v>1</v>
      </c>
    </row>
    <row r="43" spans="1:20" x14ac:dyDescent="0.2">
      <c r="A43" s="7" t="s">
        <v>0</v>
      </c>
      <c r="B43" s="1">
        <v>5</v>
      </c>
      <c r="C43" s="1">
        <v>12.5</v>
      </c>
      <c r="D43" s="1">
        <v>10</v>
      </c>
      <c r="E43" s="7">
        <v>16.48</v>
      </c>
      <c r="F43" s="1">
        <v>20</v>
      </c>
      <c r="G43" s="1">
        <v>8</v>
      </c>
      <c r="H43" s="7">
        <v>1</v>
      </c>
      <c r="I43" s="5">
        <f t="shared" si="0"/>
        <v>250.82475746260911</v>
      </c>
      <c r="J43" s="5">
        <f t="shared" si="1"/>
        <v>280.43060406314584</v>
      </c>
      <c r="K43" s="5">
        <f t="shared" si="2"/>
        <v>12.541237873130456</v>
      </c>
      <c r="L43" s="30">
        <f t="shared" si="6"/>
        <v>1.9894367886486917</v>
      </c>
      <c r="M43" s="8">
        <f t="shared" si="3"/>
        <v>1.1217224162525834</v>
      </c>
      <c r="N43" s="2">
        <v>17</v>
      </c>
      <c r="P43" s="2">
        <v>15</v>
      </c>
      <c r="Q43" s="2"/>
      <c r="R43" s="2"/>
      <c r="S43" s="22">
        <f t="shared" si="4"/>
        <v>16</v>
      </c>
      <c r="T43" s="25">
        <f t="shared" si="5"/>
        <v>1.4142135623730951</v>
      </c>
    </row>
    <row r="44" spans="1:20" x14ac:dyDescent="0.2">
      <c r="A44" s="7" t="s">
        <v>0</v>
      </c>
      <c r="B44" s="1">
        <v>5</v>
      </c>
      <c r="C44" s="1">
        <v>12.5</v>
      </c>
      <c r="D44" s="1">
        <v>10</v>
      </c>
      <c r="E44" s="7">
        <v>16.48</v>
      </c>
      <c r="F44" s="1">
        <v>20</v>
      </c>
      <c r="G44" s="1">
        <v>1</v>
      </c>
      <c r="H44" s="7">
        <v>2</v>
      </c>
      <c r="I44" s="5">
        <f t="shared" si="0"/>
        <v>62.706189365652278</v>
      </c>
      <c r="J44" s="5">
        <f t="shared" si="1"/>
        <v>70.107651015786459</v>
      </c>
      <c r="K44" s="5">
        <f t="shared" si="2"/>
        <v>3.1353094682826139</v>
      </c>
      <c r="L44" s="30">
        <f t="shared" si="6"/>
        <v>0.99471839432434583</v>
      </c>
      <c r="M44" s="8">
        <f t="shared" si="3"/>
        <v>0.5608612081262917</v>
      </c>
      <c r="N44" s="2">
        <v>32</v>
      </c>
      <c r="O44" s="2">
        <v>30</v>
      </c>
      <c r="P44" s="2">
        <v>22</v>
      </c>
      <c r="Q44" s="2"/>
      <c r="R44" s="2"/>
      <c r="S44" s="22">
        <f t="shared" si="4"/>
        <v>28</v>
      </c>
      <c r="T44" s="25">
        <f t="shared" si="5"/>
        <v>5.2915026221291814</v>
      </c>
    </row>
    <row r="45" spans="1:20" x14ac:dyDescent="0.2">
      <c r="A45" s="7" t="s">
        <v>0</v>
      </c>
      <c r="B45" s="1">
        <v>5</v>
      </c>
      <c r="C45" s="1">
        <v>12.5</v>
      </c>
      <c r="D45" s="1">
        <v>10</v>
      </c>
      <c r="E45" s="7">
        <v>16.48</v>
      </c>
      <c r="F45" s="1">
        <v>20</v>
      </c>
      <c r="G45" s="1">
        <v>2</v>
      </c>
      <c r="H45" s="7">
        <v>2</v>
      </c>
      <c r="I45" s="5">
        <f t="shared" si="0"/>
        <v>125.41237873130456</v>
      </c>
      <c r="J45" s="5">
        <f t="shared" si="1"/>
        <v>140.21530203157292</v>
      </c>
      <c r="K45" s="5">
        <f t="shared" si="2"/>
        <v>6.2706189365652278</v>
      </c>
      <c r="L45" s="30">
        <f t="shared" si="6"/>
        <v>0.99471839432434583</v>
      </c>
      <c r="M45" s="8">
        <f t="shared" si="3"/>
        <v>1.1217224162525834</v>
      </c>
      <c r="N45" s="2">
        <v>56</v>
      </c>
      <c r="O45" s="2">
        <v>47</v>
      </c>
      <c r="P45" s="2">
        <v>38</v>
      </c>
      <c r="Q45" s="2"/>
      <c r="R45" s="2"/>
      <c r="S45" s="22">
        <f t="shared" si="4"/>
        <v>47</v>
      </c>
      <c r="T45" s="25">
        <f t="shared" si="5"/>
        <v>9</v>
      </c>
    </row>
    <row r="46" spans="1:20" x14ac:dyDescent="0.2">
      <c r="A46" s="7" t="s">
        <v>0</v>
      </c>
      <c r="B46" s="1">
        <v>5</v>
      </c>
      <c r="C46" s="1">
        <v>12.5</v>
      </c>
      <c r="D46" s="1">
        <v>10</v>
      </c>
      <c r="E46" s="7">
        <v>16.48</v>
      </c>
      <c r="F46" s="1">
        <v>20</v>
      </c>
      <c r="G46" s="1">
        <v>3</v>
      </c>
      <c r="H46" s="7">
        <v>2</v>
      </c>
      <c r="I46" s="5">
        <f t="shared" si="0"/>
        <v>188.11856809695681</v>
      </c>
      <c r="J46" s="5">
        <f t="shared" si="1"/>
        <v>210.32295304735933</v>
      </c>
      <c r="K46" s="5">
        <f t="shared" si="2"/>
        <v>9.40592840484784</v>
      </c>
      <c r="L46" s="30">
        <f t="shared" si="6"/>
        <v>0.99471839432434583</v>
      </c>
      <c r="M46" s="8">
        <f t="shared" si="3"/>
        <v>1.6825836243788745</v>
      </c>
      <c r="N46" s="2">
        <v>128</v>
      </c>
      <c r="O46" s="2">
        <v>92</v>
      </c>
      <c r="P46" s="2">
        <v>72</v>
      </c>
      <c r="Q46" s="2"/>
      <c r="R46" s="2"/>
      <c r="S46" s="22">
        <f t="shared" si="4"/>
        <v>97.333333333333329</v>
      </c>
      <c r="T46" s="25">
        <f t="shared" si="5"/>
        <v>28.378395538390361</v>
      </c>
    </row>
    <row r="47" spans="1:20" x14ac:dyDescent="0.2">
      <c r="A47" s="7" t="s">
        <v>0</v>
      </c>
      <c r="B47" s="1">
        <v>5</v>
      </c>
      <c r="C47" s="1">
        <v>12.5</v>
      </c>
      <c r="D47" s="1">
        <v>10</v>
      </c>
      <c r="E47" s="7">
        <v>16.48</v>
      </c>
      <c r="F47" s="1">
        <v>20</v>
      </c>
      <c r="G47" s="1">
        <v>4</v>
      </c>
      <c r="H47" s="7">
        <v>2</v>
      </c>
      <c r="I47" s="5">
        <f t="shared" si="0"/>
        <v>250.82475746260911</v>
      </c>
      <c r="J47" s="5">
        <f t="shared" si="1"/>
        <v>280.43060406314584</v>
      </c>
      <c r="K47" s="5">
        <f t="shared" si="2"/>
        <v>12.541237873130456</v>
      </c>
      <c r="L47" s="30">
        <f t="shared" si="6"/>
        <v>0.99471839432434583</v>
      </c>
      <c r="M47" s="8">
        <f t="shared" si="3"/>
        <v>2.2434448325051668</v>
      </c>
      <c r="N47" s="2">
        <v>82</v>
      </c>
      <c r="O47" s="2">
        <v>92</v>
      </c>
      <c r="P47" s="2">
        <v>83</v>
      </c>
      <c r="Q47" s="2"/>
      <c r="R47" s="2"/>
      <c r="S47" s="22">
        <f t="shared" si="4"/>
        <v>85.666666666666671</v>
      </c>
      <c r="T47" s="25">
        <f t="shared" si="5"/>
        <v>5.5075705472861021</v>
      </c>
    </row>
    <row r="48" spans="1:20" x14ac:dyDescent="0.2">
      <c r="A48" s="7" t="s">
        <v>0</v>
      </c>
      <c r="B48" s="1">
        <v>5</v>
      </c>
      <c r="C48" s="1">
        <v>12.5</v>
      </c>
      <c r="D48" s="1">
        <v>10</v>
      </c>
      <c r="E48" s="7">
        <v>16.48</v>
      </c>
      <c r="F48" s="1">
        <v>20</v>
      </c>
      <c r="G48" s="1">
        <v>5</v>
      </c>
      <c r="H48" s="7">
        <v>2</v>
      </c>
      <c r="I48" s="5">
        <f t="shared" si="0"/>
        <v>313.53094682826139</v>
      </c>
      <c r="J48" s="5">
        <f t="shared" si="1"/>
        <v>350.53825507893231</v>
      </c>
      <c r="K48" s="5">
        <f t="shared" si="2"/>
        <v>15.67654734141307</v>
      </c>
      <c r="L48" s="30">
        <f t="shared" si="6"/>
        <v>0.99471839432434583</v>
      </c>
      <c r="M48" s="8">
        <f t="shared" si="3"/>
        <v>2.8043060406314586</v>
      </c>
      <c r="N48" s="2">
        <v>46</v>
      </c>
      <c r="O48" s="2">
        <v>76</v>
      </c>
      <c r="P48" s="2">
        <v>60</v>
      </c>
      <c r="Q48" s="2"/>
      <c r="R48" s="2"/>
      <c r="S48" s="22">
        <f t="shared" si="4"/>
        <v>60.666666666666664</v>
      </c>
      <c r="T48" s="25">
        <f t="shared" si="5"/>
        <v>15.011106998930259</v>
      </c>
    </row>
    <row r="49" spans="1:20" x14ac:dyDescent="0.2">
      <c r="A49" s="7" t="s">
        <v>0</v>
      </c>
      <c r="B49" s="1">
        <v>5</v>
      </c>
      <c r="C49" s="1">
        <v>12.5</v>
      </c>
      <c r="D49" s="1">
        <v>10</v>
      </c>
      <c r="E49" s="7">
        <v>16.48</v>
      </c>
      <c r="F49" s="1">
        <v>20</v>
      </c>
      <c r="G49" s="1">
        <v>6</v>
      </c>
      <c r="H49" s="7">
        <v>2</v>
      </c>
      <c r="I49" s="5">
        <f t="shared" si="0"/>
        <v>376.23713619391361</v>
      </c>
      <c r="J49" s="5">
        <f t="shared" si="1"/>
        <v>420.64590609471867</v>
      </c>
      <c r="K49" s="5">
        <f t="shared" si="2"/>
        <v>18.81185680969568</v>
      </c>
      <c r="L49" s="30">
        <f t="shared" si="6"/>
        <v>0.99471839432434583</v>
      </c>
      <c r="M49" s="8">
        <f t="shared" si="3"/>
        <v>3.3651672487577491</v>
      </c>
      <c r="N49" s="2">
        <v>66</v>
      </c>
      <c r="O49" s="2">
        <v>60</v>
      </c>
      <c r="P49" s="2">
        <v>51</v>
      </c>
      <c r="Q49" s="2"/>
      <c r="R49" s="2"/>
      <c r="S49" s="22">
        <f t="shared" si="4"/>
        <v>59</v>
      </c>
      <c r="T49" s="25">
        <f t="shared" si="5"/>
        <v>7.5498344352707498</v>
      </c>
    </row>
    <row r="50" spans="1:20" x14ac:dyDescent="0.2">
      <c r="A50" s="7" t="s">
        <v>0</v>
      </c>
      <c r="B50" s="1">
        <v>5</v>
      </c>
      <c r="C50" s="1">
        <v>12.5</v>
      </c>
      <c r="D50" s="1">
        <v>10</v>
      </c>
      <c r="E50" s="7">
        <v>16.48</v>
      </c>
      <c r="F50" s="1">
        <v>20</v>
      </c>
      <c r="G50" s="1">
        <v>7</v>
      </c>
      <c r="H50" s="7">
        <v>2</v>
      </c>
      <c r="I50" s="5">
        <f t="shared" si="0"/>
        <v>438.94332555956589</v>
      </c>
      <c r="J50" s="5">
        <f t="shared" si="1"/>
        <v>490.75355711050514</v>
      </c>
      <c r="K50" s="5">
        <f t="shared" si="2"/>
        <v>21.947166277978294</v>
      </c>
      <c r="L50" s="30">
        <f t="shared" si="6"/>
        <v>0.99471839432434583</v>
      </c>
      <c r="M50" s="8">
        <f t="shared" si="3"/>
        <v>3.9260284568840413</v>
      </c>
      <c r="N50" s="2">
        <v>69</v>
      </c>
      <c r="O50" s="2">
        <v>68</v>
      </c>
      <c r="P50" s="2">
        <v>60</v>
      </c>
      <c r="Q50" s="2"/>
      <c r="R50" s="2"/>
      <c r="S50" s="22">
        <f t="shared" si="4"/>
        <v>65.666666666666671</v>
      </c>
      <c r="T50" s="25">
        <f t="shared" si="5"/>
        <v>4.9328828623162471</v>
      </c>
    </row>
    <row r="51" spans="1:20" x14ac:dyDescent="0.2">
      <c r="A51" s="7" t="s">
        <v>0</v>
      </c>
      <c r="B51" s="1">
        <v>5</v>
      </c>
      <c r="C51" s="1">
        <v>12.5</v>
      </c>
      <c r="D51" s="1">
        <v>10</v>
      </c>
      <c r="E51" s="7">
        <v>16.48</v>
      </c>
      <c r="F51" s="1">
        <v>20</v>
      </c>
      <c r="G51" s="1">
        <v>1</v>
      </c>
      <c r="H51" s="7">
        <v>3</v>
      </c>
      <c r="I51" s="5">
        <f t="shared" si="0"/>
        <v>94.059284048478403</v>
      </c>
      <c r="J51" s="5">
        <f t="shared" si="1"/>
        <v>105.16147652367967</v>
      </c>
      <c r="K51" s="5">
        <f t="shared" si="2"/>
        <v>4.70296420242392</v>
      </c>
      <c r="L51" s="30">
        <f t="shared" si="6"/>
        <v>0.66314559621623059</v>
      </c>
      <c r="M51" s="8">
        <f t="shared" si="3"/>
        <v>1.2619377182841558</v>
      </c>
      <c r="N51" s="2">
        <v>29</v>
      </c>
      <c r="O51" s="2">
        <v>38</v>
      </c>
      <c r="P51" s="2">
        <v>29</v>
      </c>
      <c r="Q51" s="2"/>
      <c r="R51" s="2"/>
      <c r="S51" s="22">
        <f t="shared" si="4"/>
        <v>32</v>
      </c>
      <c r="T51" s="25">
        <f t="shared" si="5"/>
        <v>5.196152422706632</v>
      </c>
    </row>
    <row r="52" spans="1:20" x14ac:dyDescent="0.2">
      <c r="A52" s="7" t="s">
        <v>0</v>
      </c>
      <c r="B52" s="1">
        <v>5</v>
      </c>
      <c r="C52" s="1">
        <v>12.5</v>
      </c>
      <c r="D52" s="1">
        <v>10</v>
      </c>
      <c r="E52" s="7">
        <v>16.48</v>
      </c>
      <c r="F52" s="1">
        <v>20</v>
      </c>
      <c r="G52" s="1">
        <v>2</v>
      </c>
      <c r="H52" s="7">
        <v>3</v>
      </c>
      <c r="I52" s="5">
        <f t="shared" si="0"/>
        <v>188.11856809695681</v>
      </c>
      <c r="J52" s="5">
        <f t="shared" si="1"/>
        <v>210.32295304735933</v>
      </c>
      <c r="K52" s="5">
        <f t="shared" si="2"/>
        <v>9.40592840484784</v>
      </c>
      <c r="L52" s="30">
        <f t="shared" si="6"/>
        <v>0.66314559621623059</v>
      </c>
      <c r="M52" s="8">
        <f t="shared" si="3"/>
        <v>2.5238754365683116</v>
      </c>
      <c r="N52" s="2">
        <v>65</v>
      </c>
      <c r="O52" s="2">
        <v>67</v>
      </c>
      <c r="P52" s="2">
        <v>70</v>
      </c>
      <c r="Q52" s="2"/>
      <c r="R52" s="2"/>
      <c r="S52" s="22">
        <f t="shared" si="4"/>
        <v>67.333333333333329</v>
      </c>
      <c r="T52" s="25">
        <f t="shared" si="5"/>
        <v>2.5166114784235836</v>
      </c>
    </row>
    <row r="53" spans="1:20" x14ac:dyDescent="0.2">
      <c r="A53" s="7" t="s">
        <v>0</v>
      </c>
      <c r="B53" s="1">
        <v>5</v>
      </c>
      <c r="C53" s="1">
        <v>12.5</v>
      </c>
      <c r="D53" s="1">
        <v>10</v>
      </c>
      <c r="E53" s="7">
        <v>16.48</v>
      </c>
      <c r="F53" s="1">
        <v>20</v>
      </c>
      <c r="G53" s="1">
        <v>3</v>
      </c>
      <c r="H53" s="7">
        <v>3</v>
      </c>
      <c r="I53" s="5">
        <f t="shared" si="0"/>
        <v>282.17785214543522</v>
      </c>
      <c r="J53" s="5">
        <f t="shared" si="1"/>
        <v>315.48442957103902</v>
      </c>
      <c r="K53" s="5">
        <f t="shared" si="2"/>
        <v>14.108892607271761</v>
      </c>
      <c r="L53" s="30">
        <f t="shared" si="6"/>
        <v>0.66314559621623059</v>
      </c>
      <c r="M53" s="8">
        <f t="shared" si="3"/>
        <v>3.7858131548524683</v>
      </c>
      <c r="N53" s="2">
        <v>56</v>
      </c>
      <c r="O53" s="2">
        <v>52</v>
      </c>
      <c r="P53" s="2">
        <v>54</v>
      </c>
      <c r="Q53" s="2"/>
      <c r="R53" s="2"/>
      <c r="S53" s="22">
        <f t="shared" si="4"/>
        <v>54</v>
      </c>
      <c r="T53" s="25">
        <f t="shared" si="5"/>
        <v>2</v>
      </c>
    </row>
    <row r="54" spans="1:20" x14ac:dyDescent="0.2">
      <c r="A54" s="7" t="s">
        <v>0</v>
      </c>
      <c r="B54" s="1">
        <v>5</v>
      </c>
      <c r="C54" s="1">
        <v>12.5</v>
      </c>
      <c r="D54" s="1">
        <v>10</v>
      </c>
      <c r="E54" s="7">
        <v>16.48</v>
      </c>
      <c r="F54" s="1">
        <v>20</v>
      </c>
      <c r="G54" s="1">
        <v>4</v>
      </c>
      <c r="H54" s="7">
        <v>3</v>
      </c>
      <c r="I54" s="5">
        <f t="shared" si="0"/>
        <v>376.23713619391361</v>
      </c>
      <c r="J54" s="5">
        <f t="shared" si="1"/>
        <v>420.64590609471867</v>
      </c>
      <c r="K54" s="5">
        <f t="shared" si="2"/>
        <v>18.81185680969568</v>
      </c>
      <c r="L54" s="30">
        <f t="shared" si="6"/>
        <v>0.66314559621623059</v>
      </c>
      <c r="M54" s="8">
        <f t="shared" si="3"/>
        <v>5.0477508731366232</v>
      </c>
      <c r="N54" s="2">
        <v>42</v>
      </c>
      <c r="O54" s="2">
        <v>38</v>
      </c>
      <c r="P54" s="2">
        <v>48</v>
      </c>
      <c r="Q54" s="2"/>
      <c r="R54" s="2"/>
      <c r="S54" s="22">
        <f t="shared" si="4"/>
        <v>42.666666666666664</v>
      </c>
      <c r="T54" s="25">
        <f t="shared" si="5"/>
        <v>5.0332229568471671</v>
      </c>
    </row>
    <row r="55" spans="1:20" x14ac:dyDescent="0.2">
      <c r="A55" s="7" t="s">
        <v>0</v>
      </c>
      <c r="B55" s="1">
        <v>5</v>
      </c>
      <c r="C55" s="1">
        <v>12.5</v>
      </c>
      <c r="D55" s="1">
        <v>10</v>
      </c>
      <c r="E55" s="7">
        <v>16.48</v>
      </c>
      <c r="F55" s="1">
        <v>20</v>
      </c>
      <c r="G55" s="1">
        <v>5</v>
      </c>
      <c r="H55" s="7">
        <v>3</v>
      </c>
      <c r="I55" s="5">
        <f t="shared" si="0"/>
        <v>470.29642024239212</v>
      </c>
      <c r="J55" s="5">
        <f t="shared" si="1"/>
        <v>525.80738261839849</v>
      </c>
      <c r="K55" s="5">
        <f t="shared" si="2"/>
        <v>23.514821012119604</v>
      </c>
      <c r="L55" s="30">
        <f t="shared" si="6"/>
        <v>0.66314559621623059</v>
      </c>
      <c r="M55" s="8">
        <f t="shared" si="3"/>
        <v>6.3096885914207821</v>
      </c>
      <c r="N55" s="2">
        <v>33</v>
      </c>
      <c r="O55" s="2">
        <v>32</v>
      </c>
      <c r="P55" s="2">
        <v>32</v>
      </c>
      <c r="Q55" s="2"/>
      <c r="R55" s="2"/>
      <c r="S55" s="22">
        <f t="shared" si="4"/>
        <v>32.333333333333336</v>
      </c>
      <c r="T55" s="25">
        <f t="shared" si="5"/>
        <v>0.57735026918962584</v>
      </c>
    </row>
    <row r="56" spans="1:20" x14ac:dyDescent="0.2">
      <c r="A56" s="7" t="s">
        <v>0</v>
      </c>
      <c r="B56" s="1">
        <v>5</v>
      </c>
      <c r="C56" s="1">
        <v>12.5</v>
      </c>
      <c r="D56" s="1">
        <v>10</v>
      </c>
      <c r="E56" s="7">
        <v>16.48</v>
      </c>
      <c r="F56" s="1">
        <v>20</v>
      </c>
      <c r="G56" s="1">
        <v>6</v>
      </c>
      <c r="H56" s="7">
        <v>3</v>
      </c>
      <c r="I56" s="5">
        <f t="shared" si="0"/>
        <v>564.35570429087045</v>
      </c>
      <c r="J56" s="5">
        <f t="shared" si="1"/>
        <v>630.96885914207803</v>
      </c>
      <c r="K56" s="5">
        <f t="shared" si="2"/>
        <v>28.217785214543522</v>
      </c>
      <c r="L56" s="30">
        <f t="shared" si="6"/>
        <v>0.66314559621623059</v>
      </c>
      <c r="M56" s="8">
        <f t="shared" si="3"/>
        <v>7.5716263097049366</v>
      </c>
      <c r="N56" s="2">
        <v>29</v>
      </c>
      <c r="O56" s="2">
        <v>45</v>
      </c>
      <c r="P56" s="2">
        <v>40</v>
      </c>
      <c r="Q56" s="2"/>
      <c r="R56" s="2"/>
      <c r="S56" s="22">
        <f t="shared" si="4"/>
        <v>38</v>
      </c>
      <c r="T56" s="25">
        <f t="shared" si="5"/>
        <v>8.1853527718724504</v>
      </c>
    </row>
    <row r="57" spans="1:20" x14ac:dyDescent="0.2">
      <c r="A57" s="7" t="s">
        <v>0</v>
      </c>
      <c r="B57" s="1">
        <v>5</v>
      </c>
      <c r="C57" s="1">
        <v>12.5</v>
      </c>
      <c r="D57" s="1">
        <v>10</v>
      </c>
      <c r="E57" s="7">
        <v>16.48</v>
      </c>
      <c r="F57" s="1">
        <v>20</v>
      </c>
      <c r="G57" s="1">
        <v>1</v>
      </c>
      <c r="H57" s="7">
        <v>4</v>
      </c>
      <c r="I57" s="5">
        <f t="shared" si="0"/>
        <v>125.41237873130456</v>
      </c>
      <c r="J57" s="5">
        <f t="shared" si="1"/>
        <v>140.21530203157292</v>
      </c>
      <c r="K57" s="5">
        <f t="shared" si="2"/>
        <v>6.2706189365652278</v>
      </c>
      <c r="L57" s="30">
        <f t="shared" si="6"/>
        <v>0.49735919716217292</v>
      </c>
      <c r="M57" s="8">
        <f t="shared" si="3"/>
        <v>2.2434448325051668</v>
      </c>
      <c r="N57" s="2">
        <v>50</v>
      </c>
      <c r="O57" s="2">
        <v>44</v>
      </c>
      <c r="P57" s="2">
        <v>31</v>
      </c>
      <c r="Q57" s="2"/>
      <c r="R57" s="2"/>
      <c r="S57" s="22">
        <f t="shared" si="4"/>
        <v>41.666666666666664</v>
      </c>
      <c r="T57" s="25">
        <f t="shared" si="5"/>
        <v>9.7125348562223177</v>
      </c>
    </row>
    <row r="58" spans="1:20" x14ac:dyDescent="0.2">
      <c r="A58" s="7" t="s">
        <v>0</v>
      </c>
      <c r="B58" s="1">
        <v>5</v>
      </c>
      <c r="C58" s="1">
        <v>12.5</v>
      </c>
      <c r="D58" s="1">
        <v>10</v>
      </c>
      <c r="E58" s="7">
        <v>16.48</v>
      </c>
      <c r="F58" s="1">
        <v>20</v>
      </c>
      <c r="G58" s="1">
        <v>2</v>
      </c>
      <c r="H58" s="7">
        <v>4</v>
      </c>
      <c r="I58" s="5">
        <f t="shared" si="0"/>
        <v>250.82475746260911</v>
      </c>
      <c r="J58" s="5">
        <f t="shared" si="1"/>
        <v>280.43060406314584</v>
      </c>
      <c r="K58" s="5">
        <f t="shared" si="2"/>
        <v>12.541237873130456</v>
      </c>
      <c r="L58" s="30">
        <f t="shared" si="6"/>
        <v>0.49735919716217292</v>
      </c>
      <c r="M58" s="8">
        <f t="shared" si="3"/>
        <v>4.4868896650103336</v>
      </c>
      <c r="N58" s="2">
        <v>38</v>
      </c>
      <c r="O58" s="2">
        <v>43</v>
      </c>
      <c r="P58" s="2">
        <v>36</v>
      </c>
      <c r="Q58" s="2"/>
      <c r="R58" s="2"/>
      <c r="S58" s="22">
        <f t="shared" si="4"/>
        <v>39</v>
      </c>
      <c r="T58" s="25">
        <f t="shared" si="5"/>
        <v>3.6055512754639891</v>
      </c>
    </row>
    <row r="59" spans="1:20" x14ac:dyDescent="0.2">
      <c r="A59" s="7" t="s">
        <v>0</v>
      </c>
      <c r="B59" s="1">
        <v>5</v>
      </c>
      <c r="C59" s="1">
        <v>12.5</v>
      </c>
      <c r="D59" s="1">
        <v>10</v>
      </c>
      <c r="E59" s="7">
        <v>16.48</v>
      </c>
      <c r="F59" s="1">
        <v>20</v>
      </c>
      <c r="G59" s="1">
        <v>3</v>
      </c>
      <c r="H59" s="7">
        <v>4</v>
      </c>
      <c r="I59" s="5">
        <f t="shared" si="0"/>
        <v>376.23713619391361</v>
      </c>
      <c r="J59" s="5">
        <f t="shared" si="1"/>
        <v>420.64590609471867</v>
      </c>
      <c r="K59" s="5">
        <f t="shared" si="2"/>
        <v>18.81185680969568</v>
      </c>
      <c r="L59" s="30">
        <f t="shared" si="6"/>
        <v>0.49735919716217292</v>
      </c>
      <c r="M59" s="8">
        <f t="shared" si="3"/>
        <v>6.7303344975154982</v>
      </c>
      <c r="N59" s="2">
        <v>38</v>
      </c>
      <c r="O59" s="2">
        <v>37</v>
      </c>
      <c r="P59" s="2">
        <v>38</v>
      </c>
      <c r="Q59" s="2"/>
      <c r="R59" s="2"/>
      <c r="S59" s="22">
        <f t="shared" si="4"/>
        <v>37.666666666666664</v>
      </c>
      <c r="T59" s="25">
        <f t="shared" si="5"/>
        <v>0.57735026918962584</v>
      </c>
    </row>
    <row r="60" spans="1:20" x14ac:dyDescent="0.2">
      <c r="A60" s="7" t="s">
        <v>0</v>
      </c>
      <c r="B60" s="1">
        <v>5</v>
      </c>
      <c r="C60" s="1">
        <v>12.5</v>
      </c>
      <c r="D60" s="1">
        <v>10</v>
      </c>
      <c r="E60" s="7">
        <v>16.48</v>
      </c>
      <c r="F60" s="1">
        <v>20</v>
      </c>
      <c r="G60" s="1">
        <v>4</v>
      </c>
      <c r="H60" s="7">
        <v>4</v>
      </c>
      <c r="I60" s="5">
        <f t="shared" si="0"/>
        <v>501.64951492521823</v>
      </c>
      <c r="J60" s="5">
        <f t="shared" si="1"/>
        <v>560.86120812629167</v>
      </c>
      <c r="K60" s="5">
        <f t="shared" si="2"/>
        <v>25.082475746260911</v>
      </c>
      <c r="L60" s="30">
        <f t="shared" si="6"/>
        <v>0.49735919716217292</v>
      </c>
      <c r="M60" s="8">
        <f t="shared" si="3"/>
        <v>8.9737793300206672</v>
      </c>
      <c r="N60" s="2">
        <v>21</v>
      </c>
      <c r="O60" s="2">
        <v>24</v>
      </c>
      <c r="P60" s="2">
        <v>25</v>
      </c>
      <c r="Q60" s="2"/>
      <c r="R60" s="2"/>
      <c r="S60" s="22">
        <f t="shared" si="4"/>
        <v>23.333333333333332</v>
      </c>
      <c r="T60" s="25">
        <f t="shared" si="5"/>
        <v>2.0816659994661331</v>
      </c>
    </row>
    <row r="61" spans="1:20" x14ac:dyDescent="0.2">
      <c r="A61" s="7" t="s">
        <v>0</v>
      </c>
      <c r="B61" s="1">
        <v>5</v>
      </c>
      <c r="C61" s="1">
        <v>12.5</v>
      </c>
      <c r="D61" s="1">
        <v>10</v>
      </c>
      <c r="E61" s="7">
        <v>16.48</v>
      </c>
      <c r="F61" s="1">
        <v>20</v>
      </c>
      <c r="G61" s="1">
        <v>5</v>
      </c>
      <c r="H61" s="7">
        <v>4</v>
      </c>
      <c r="I61" s="5">
        <f t="shared" si="0"/>
        <v>627.06189365652278</v>
      </c>
      <c r="J61" s="5">
        <f t="shared" si="1"/>
        <v>701.07651015786462</v>
      </c>
      <c r="K61" s="5">
        <f t="shared" si="2"/>
        <v>31.353094682826139</v>
      </c>
      <c r="L61" s="30">
        <f t="shared" si="6"/>
        <v>0.49735919716217292</v>
      </c>
      <c r="M61" s="8">
        <f t="shared" si="3"/>
        <v>11.217224162525834</v>
      </c>
      <c r="N61" s="2">
        <v>18</v>
      </c>
      <c r="O61" s="2">
        <v>20</v>
      </c>
      <c r="P61" s="2">
        <v>24</v>
      </c>
      <c r="Q61" s="2"/>
      <c r="R61" s="2"/>
      <c r="S61" s="22">
        <f t="shared" si="4"/>
        <v>20.666666666666668</v>
      </c>
      <c r="T61" s="25">
        <f t="shared" si="5"/>
        <v>3.0550504633038997</v>
      </c>
    </row>
    <row r="62" spans="1:20" x14ac:dyDescent="0.2">
      <c r="A62" s="7" t="s">
        <v>0</v>
      </c>
      <c r="B62" s="1">
        <v>5</v>
      </c>
      <c r="C62" s="1">
        <v>12.5</v>
      </c>
      <c r="D62" s="1">
        <v>10</v>
      </c>
      <c r="E62" s="7">
        <v>16.48</v>
      </c>
      <c r="F62" s="1">
        <v>20</v>
      </c>
      <c r="G62" s="1">
        <v>6</v>
      </c>
      <c r="H62" s="7">
        <v>4</v>
      </c>
      <c r="I62" s="5">
        <f t="shared" si="0"/>
        <v>752.47427238782723</v>
      </c>
      <c r="J62" s="5">
        <f t="shared" si="1"/>
        <v>841.29181218943734</v>
      </c>
      <c r="K62" s="5">
        <f t="shared" si="2"/>
        <v>37.62371361939136</v>
      </c>
      <c r="L62" s="30">
        <f t="shared" si="6"/>
        <v>0.49735919716217292</v>
      </c>
      <c r="M62" s="8">
        <f t="shared" si="3"/>
        <v>13.460668995030996</v>
      </c>
      <c r="N62" s="2">
        <v>18</v>
      </c>
      <c r="O62" s="2">
        <v>17</v>
      </c>
      <c r="P62" s="2">
        <v>28</v>
      </c>
      <c r="S62" s="22">
        <f t="shared" si="4"/>
        <v>21</v>
      </c>
      <c r="T62" s="25">
        <f t="shared" si="5"/>
        <v>6.0827625302982193</v>
      </c>
    </row>
    <row r="63" spans="1:20" x14ac:dyDescent="0.2">
      <c r="A63" s="7" t="s">
        <v>0</v>
      </c>
      <c r="B63" s="1">
        <v>5</v>
      </c>
      <c r="C63" s="1">
        <v>12.5</v>
      </c>
      <c r="D63" s="1">
        <v>10</v>
      </c>
      <c r="E63" s="7">
        <v>16.48</v>
      </c>
      <c r="F63" s="1">
        <v>20</v>
      </c>
      <c r="G63" s="1">
        <v>1</v>
      </c>
      <c r="H63" s="7">
        <v>8</v>
      </c>
      <c r="I63" s="5">
        <f t="shared" si="0"/>
        <v>250.82475746260911</v>
      </c>
      <c r="J63" s="5">
        <f t="shared" si="1"/>
        <v>280.43060406314584</v>
      </c>
      <c r="K63" s="5">
        <f t="shared" si="2"/>
        <v>12.541237873130456</v>
      </c>
      <c r="L63" s="30">
        <f t="shared" si="6"/>
        <v>0.24867959858108646</v>
      </c>
      <c r="M63" s="8">
        <f t="shared" si="3"/>
        <v>8.9737793300206672</v>
      </c>
      <c r="N63" s="2">
        <v>20</v>
      </c>
      <c r="O63" s="2">
        <v>20</v>
      </c>
      <c r="P63" s="2">
        <v>20</v>
      </c>
      <c r="S63" s="22">
        <f t="shared" si="4"/>
        <v>20</v>
      </c>
      <c r="T63" s="25">
        <f t="shared" si="5"/>
        <v>0</v>
      </c>
    </row>
    <row r="64" spans="1:20" x14ac:dyDescent="0.2">
      <c r="A64" s="7" t="s">
        <v>0</v>
      </c>
      <c r="B64" s="1">
        <v>5</v>
      </c>
      <c r="C64" s="1">
        <v>12.5</v>
      </c>
      <c r="D64" s="1">
        <v>10</v>
      </c>
      <c r="E64" s="7">
        <v>16.48</v>
      </c>
      <c r="F64" s="1">
        <v>20</v>
      </c>
      <c r="G64" s="1">
        <v>2</v>
      </c>
      <c r="H64" s="7">
        <v>8</v>
      </c>
      <c r="I64" s="5">
        <f t="shared" si="0"/>
        <v>501.64951492521823</v>
      </c>
      <c r="J64" s="5">
        <f t="shared" si="1"/>
        <v>560.86120812629167</v>
      </c>
      <c r="K64" s="5">
        <f t="shared" si="2"/>
        <v>25.082475746260911</v>
      </c>
      <c r="L64" s="30">
        <f t="shared" si="6"/>
        <v>0.24867959858108646</v>
      </c>
      <c r="M64" s="8">
        <f t="shared" si="3"/>
        <v>17.947558660041334</v>
      </c>
      <c r="N64" s="2">
        <v>17</v>
      </c>
      <c r="O64" s="2">
        <v>13</v>
      </c>
      <c r="P64" s="2">
        <v>16</v>
      </c>
      <c r="S64" s="22">
        <f t="shared" si="4"/>
        <v>15.333333333333334</v>
      </c>
      <c r="T64" s="25">
        <f t="shared" si="5"/>
        <v>2.0816659994661282</v>
      </c>
    </row>
    <row r="65" spans="1:20" x14ac:dyDescent="0.2">
      <c r="A65" s="7" t="s">
        <v>0</v>
      </c>
      <c r="B65" s="1">
        <v>5</v>
      </c>
      <c r="C65" s="1">
        <v>12.5</v>
      </c>
      <c r="D65" s="1">
        <v>10</v>
      </c>
      <c r="E65" s="7">
        <v>16.48</v>
      </c>
      <c r="F65" s="1">
        <v>20</v>
      </c>
      <c r="G65" s="1">
        <v>3</v>
      </c>
      <c r="H65" s="7">
        <v>8</v>
      </c>
      <c r="I65" s="5">
        <f t="shared" si="0"/>
        <v>752.47427238782723</v>
      </c>
      <c r="J65" s="5">
        <f t="shared" si="1"/>
        <v>841.29181218943734</v>
      </c>
      <c r="K65" s="5">
        <f t="shared" si="2"/>
        <v>37.62371361939136</v>
      </c>
      <c r="L65" s="30">
        <f t="shared" si="6"/>
        <v>0.24867959858108646</v>
      </c>
      <c r="M65" s="8">
        <f t="shared" si="3"/>
        <v>26.921337990061993</v>
      </c>
      <c r="N65" s="2">
        <v>12</v>
      </c>
      <c r="O65" s="2">
        <v>10</v>
      </c>
      <c r="P65" s="2">
        <v>12</v>
      </c>
      <c r="S65" s="22">
        <f t="shared" si="4"/>
        <v>11.333333333333334</v>
      </c>
      <c r="T65" s="25">
        <f t="shared" si="5"/>
        <v>1.1547005383792517</v>
      </c>
    </row>
    <row r="66" spans="1:20" x14ac:dyDescent="0.2">
      <c r="A66" s="7" t="s">
        <v>0</v>
      </c>
      <c r="B66" s="1">
        <v>5</v>
      </c>
      <c r="C66" s="1">
        <v>12.5</v>
      </c>
      <c r="D66" s="1">
        <v>10</v>
      </c>
      <c r="E66" s="7">
        <v>16.48</v>
      </c>
      <c r="F66" s="1">
        <v>20</v>
      </c>
      <c r="G66" s="1">
        <v>4</v>
      </c>
      <c r="H66" s="7">
        <v>8</v>
      </c>
      <c r="I66" s="5">
        <f t="shared" si="0"/>
        <v>1003.2990298504365</v>
      </c>
      <c r="J66" s="5">
        <f t="shared" si="1"/>
        <v>1121.7224162525833</v>
      </c>
      <c r="K66" s="5">
        <f t="shared" si="2"/>
        <v>50.164951492521823</v>
      </c>
      <c r="L66" s="30">
        <f t="shared" si="6"/>
        <v>0.24867959858108646</v>
      </c>
      <c r="M66" s="8">
        <f t="shared" si="3"/>
        <v>35.895117320082669</v>
      </c>
      <c r="N66" s="2">
        <v>11</v>
      </c>
      <c r="O66" s="2">
        <v>9</v>
      </c>
      <c r="P66" s="2">
        <v>11</v>
      </c>
      <c r="S66" s="22">
        <f t="shared" si="4"/>
        <v>10.333333333333334</v>
      </c>
      <c r="T66" s="25">
        <f t="shared" si="5"/>
        <v>1.1547005383792517</v>
      </c>
    </row>
    <row r="67" spans="1:20" x14ac:dyDescent="0.2">
      <c r="A67" s="7" t="s">
        <v>0</v>
      </c>
      <c r="B67" s="1">
        <v>5</v>
      </c>
      <c r="C67" s="1">
        <v>12.5</v>
      </c>
      <c r="D67" s="1">
        <v>10</v>
      </c>
      <c r="E67" s="7">
        <v>16.48</v>
      </c>
      <c r="F67" s="1">
        <v>30</v>
      </c>
      <c r="G67" s="1">
        <v>0</v>
      </c>
      <c r="H67" s="7">
        <v>0</v>
      </c>
      <c r="I67" s="5">
        <f t="shared" si="0"/>
        <v>0</v>
      </c>
      <c r="J67" s="5">
        <f t="shared" si="1"/>
        <v>0</v>
      </c>
      <c r="K67" s="5">
        <f t="shared" si="2"/>
        <v>0</v>
      </c>
      <c r="L67" s="30" t="e">
        <f t="shared" si="6"/>
        <v>#DIV/0!</v>
      </c>
      <c r="M67" s="8">
        <f t="shared" si="3"/>
        <v>0</v>
      </c>
      <c r="N67" s="2">
        <v>15</v>
      </c>
      <c r="O67" s="2">
        <v>13</v>
      </c>
      <c r="P67" s="2">
        <v>17</v>
      </c>
      <c r="S67" s="22">
        <f t="shared" si="4"/>
        <v>15</v>
      </c>
      <c r="T67" s="25">
        <f t="shared" si="5"/>
        <v>2</v>
      </c>
    </row>
    <row r="68" spans="1:20" x14ac:dyDescent="0.2">
      <c r="A68" s="7" t="s">
        <v>0</v>
      </c>
      <c r="B68" s="1">
        <v>5</v>
      </c>
      <c r="C68" s="1">
        <v>12.5</v>
      </c>
      <c r="D68" s="1">
        <v>10</v>
      </c>
      <c r="E68" s="7">
        <v>16.48</v>
      </c>
      <c r="F68" s="1">
        <v>30</v>
      </c>
      <c r="G68" s="1">
        <v>1</v>
      </c>
      <c r="H68" s="7">
        <v>1</v>
      </c>
      <c r="I68" s="5">
        <f t="shared" ref="I68:I131" si="7">(2*PI()*G68*(H68/1000)*998*(B68/1000))/0.001</f>
        <v>31.353094682826139</v>
      </c>
      <c r="J68" s="5">
        <f t="shared" ref="J68:J131" si="8">I68*SQRT(C68/(2*B68))</f>
        <v>35.053825507893229</v>
      </c>
      <c r="K68" s="5">
        <f t="shared" ref="K68:K131" si="9">I68/F68</f>
        <v>1.0451031560942046</v>
      </c>
      <c r="L68" s="30">
        <f t="shared" ref="L68:L131" si="10">(C68/(2*PI()*H68))</f>
        <v>1.9894367886486917</v>
      </c>
      <c r="M68" s="8">
        <f t="shared" ref="M68:M131" si="11">((J68*(H68/C68))/F68)</f>
        <v>9.3476868021048626E-2</v>
      </c>
      <c r="N68" s="2">
        <v>14</v>
      </c>
      <c r="O68" s="2">
        <v>12</v>
      </c>
      <c r="P68" s="2">
        <v>18</v>
      </c>
      <c r="S68" s="22">
        <f t="shared" ref="S68:S131" si="12">AVERAGE(N68:R68)</f>
        <v>14.666666666666666</v>
      </c>
      <c r="T68" s="25">
        <f t="shared" ref="T68:T131" si="13">STDEV(N68:R68)</f>
        <v>3.0550504633038904</v>
      </c>
    </row>
    <row r="69" spans="1:20" x14ac:dyDescent="0.2">
      <c r="A69" s="7" t="s">
        <v>0</v>
      </c>
      <c r="B69" s="1">
        <v>5</v>
      </c>
      <c r="C69" s="1">
        <v>12.5</v>
      </c>
      <c r="D69" s="1">
        <v>10</v>
      </c>
      <c r="E69" s="7">
        <v>16.48</v>
      </c>
      <c r="F69" s="1">
        <v>30</v>
      </c>
      <c r="G69" s="1">
        <v>2</v>
      </c>
      <c r="H69" s="7">
        <v>1</v>
      </c>
      <c r="I69" s="5">
        <f t="shared" si="7"/>
        <v>62.706189365652278</v>
      </c>
      <c r="J69" s="5">
        <f t="shared" si="8"/>
        <v>70.107651015786459</v>
      </c>
      <c r="K69" s="5">
        <f t="shared" si="9"/>
        <v>2.0902063121884091</v>
      </c>
      <c r="L69" s="30">
        <f t="shared" si="10"/>
        <v>1.9894367886486917</v>
      </c>
      <c r="M69" s="8">
        <f t="shared" si="11"/>
        <v>0.18695373604209725</v>
      </c>
      <c r="N69" s="2">
        <v>13</v>
      </c>
      <c r="O69" s="2">
        <v>18</v>
      </c>
      <c r="P69" s="2">
        <v>14</v>
      </c>
      <c r="S69" s="22">
        <f t="shared" si="12"/>
        <v>15</v>
      </c>
      <c r="T69" s="25">
        <f t="shared" si="13"/>
        <v>2.6457513110645907</v>
      </c>
    </row>
    <row r="70" spans="1:20" x14ac:dyDescent="0.2">
      <c r="A70" s="7" t="s">
        <v>0</v>
      </c>
      <c r="B70" s="1">
        <v>5</v>
      </c>
      <c r="C70" s="1">
        <v>12.5</v>
      </c>
      <c r="D70" s="1">
        <v>10</v>
      </c>
      <c r="E70" s="7">
        <v>16.48</v>
      </c>
      <c r="F70" s="1">
        <v>30</v>
      </c>
      <c r="G70" s="1">
        <v>3</v>
      </c>
      <c r="H70" s="7">
        <v>1</v>
      </c>
      <c r="I70" s="5">
        <f t="shared" si="7"/>
        <v>94.059284048478403</v>
      </c>
      <c r="J70" s="5">
        <f t="shared" si="8"/>
        <v>105.16147652367967</v>
      </c>
      <c r="K70" s="5">
        <f t="shared" si="9"/>
        <v>3.1353094682826135</v>
      </c>
      <c r="L70" s="30">
        <f t="shared" si="10"/>
        <v>1.9894367886486917</v>
      </c>
      <c r="M70" s="8">
        <f t="shared" si="11"/>
        <v>0.28043060406314579</v>
      </c>
      <c r="N70" s="2">
        <v>11</v>
      </c>
      <c r="O70" s="2">
        <v>13</v>
      </c>
      <c r="P70" s="2">
        <v>14</v>
      </c>
      <c r="S70" s="22">
        <f t="shared" si="12"/>
        <v>12.666666666666666</v>
      </c>
      <c r="T70" s="25">
        <f t="shared" si="13"/>
        <v>1.5275252316519468</v>
      </c>
    </row>
    <row r="71" spans="1:20" x14ac:dyDescent="0.2">
      <c r="A71" s="7" t="s">
        <v>0</v>
      </c>
      <c r="B71" s="1">
        <v>5</v>
      </c>
      <c r="C71" s="1">
        <v>12.5</v>
      </c>
      <c r="D71" s="1">
        <v>10</v>
      </c>
      <c r="E71" s="7">
        <v>16.48</v>
      </c>
      <c r="F71" s="1">
        <v>30</v>
      </c>
      <c r="G71" s="1">
        <v>4</v>
      </c>
      <c r="H71" s="7">
        <v>1</v>
      </c>
      <c r="I71" s="5">
        <f t="shared" si="7"/>
        <v>125.41237873130456</v>
      </c>
      <c r="J71" s="5">
        <f t="shared" si="8"/>
        <v>140.21530203157292</v>
      </c>
      <c r="K71" s="5">
        <f t="shared" si="9"/>
        <v>4.1804126243768183</v>
      </c>
      <c r="L71" s="30">
        <f t="shared" si="10"/>
        <v>1.9894367886486917</v>
      </c>
      <c r="M71" s="8">
        <f t="shared" si="11"/>
        <v>0.3739074720841945</v>
      </c>
      <c r="N71" s="2">
        <v>12</v>
      </c>
      <c r="O71" s="2">
        <v>13</v>
      </c>
      <c r="P71" s="2">
        <v>20</v>
      </c>
      <c r="S71" s="22">
        <f t="shared" si="12"/>
        <v>15</v>
      </c>
      <c r="T71" s="25">
        <f t="shared" si="13"/>
        <v>4.358898943540674</v>
      </c>
    </row>
    <row r="72" spans="1:20" x14ac:dyDescent="0.2">
      <c r="A72" s="7" t="s">
        <v>0</v>
      </c>
      <c r="B72" s="1">
        <v>5</v>
      </c>
      <c r="C72" s="1">
        <v>12.5</v>
      </c>
      <c r="D72" s="1">
        <v>10</v>
      </c>
      <c r="E72" s="7">
        <v>16.48</v>
      </c>
      <c r="F72" s="1">
        <v>30</v>
      </c>
      <c r="G72" s="1">
        <v>5</v>
      </c>
      <c r="H72" s="7">
        <v>1</v>
      </c>
      <c r="I72" s="5">
        <f t="shared" si="7"/>
        <v>156.7654734141307</v>
      </c>
      <c r="J72" s="5">
        <f t="shared" si="8"/>
        <v>175.26912753946615</v>
      </c>
      <c r="K72" s="5">
        <f t="shared" si="9"/>
        <v>5.2255157804710235</v>
      </c>
      <c r="L72" s="30">
        <f t="shared" si="10"/>
        <v>1.9894367886486917</v>
      </c>
      <c r="M72" s="8">
        <f t="shared" si="11"/>
        <v>0.46738434010524305</v>
      </c>
      <c r="N72" s="2">
        <v>40</v>
      </c>
      <c r="O72" s="2">
        <v>11</v>
      </c>
      <c r="P72" s="2">
        <v>17</v>
      </c>
      <c r="S72" s="22">
        <f t="shared" si="12"/>
        <v>22.666666666666668</v>
      </c>
      <c r="T72" s="25">
        <f t="shared" si="13"/>
        <v>15.30795000427338</v>
      </c>
    </row>
    <row r="73" spans="1:20" x14ac:dyDescent="0.2">
      <c r="A73" s="7" t="s">
        <v>0</v>
      </c>
      <c r="B73" s="1">
        <v>5</v>
      </c>
      <c r="C73" s="1">
        <v>12.5</v>
      </c>
      <c r="D73" s="1">
        <v>10</v>
      </c>
      <c r="E73" s="7">
        <v>16.48</v>
      </c>
      <c r="F73" s="1">
        <v>30</v>
      </c>
      <c r="G73" s="1">
        <v>6</v>
      </c>
      <c r="H73" s="7">
        <v>1</v>
      </c>
      <c r="I73" s="5">
        <f t="shared" si="7"/>
        <v>188.11856809695681</v>
      </c>
      <c r="J73" s="5">
        <f t="shared" si="8"/>
        <v>210.32295304735933</v>
      </c>
      <c r="K73" s="5">
        <f t="shared" si="9"/>
        <v>6.270618936565227</v>
      </c>
      <c r="L73" s="30">
        <f t="shared" si="10"/>
        <v>1.9894367886486917</v>
      </c>
      <c r="M73" s="8">
        <f t="shared" si="11"/>
        <v>0.56086120812629159</v>
      </c>
      <c r="N73" s="2">
        <v>22</v>
      </c>
      <c r="O73" s="2">
        <v>11</v>
      </c>
      <c r="P73" s="2">
        <v>13</v>
      </c>
      <c r="S73" s="22">
        <f t="shared" si="12"/>
        <v>15.333333333333334</v>
      </c>
      <c r="T73" s="25">
        <f t="shared" si="13"/>
        <v>5.8594652770823137</v>
      </c>
    </row>
    <row r="74" spans="1:20" x14ac:dyDescent="0.2">
      <c r="A74" s="7" t="s">
        <v>0</v>
      </c>
      <c r="B74" s="1">
        <v>5</v>
      </c>
      <c r="C74" s="1">
        <v>12.5</v>
      </c>
      <c r="D74" s="1">
        <v>10</v>
      </c>
      <c r="E74" s="7">
        <v>16.48</v>
      </c>
      <c r="F74" s="1">
        <v>30</v>
      </c>
      <c r="G74" s="1">
        <v>7</v>
      </c>
      <c r="H74" s="7">
        <v>1</v>
      </c>
      <c r="I74" s="5">
        <f t="shared" si="7"/>
        <v>219.47166277978295</v>
      </c>
      <c r="J74" s="5">
        <f t="shared" si="8"/>
        <v>245.37677855525257</v>
      </c>
      <c r="K74" s="5">
        <f t="shared" si="9"/>
        <v>7.3157220926594313</v>
      </c>
      <c r="L74" s="30">
        <f t="shared" si="10"/>
        <v>1.9894367886486917</v>
      </c>
      <c r="M74" s="8">
        <f t="shared" si="11"/>
        <v>0.65433807614734019</v>
      </c>
      <c r="N74" s="2">
        <v>25</v>
      </c>
      <c r="O74" s="2">
        <v>13</v>
      </c>
      <c r="P74" s="2">
        <v>20</v>
      </c>
      <c r="S74" s="22">
        <f t="shared" si="12"/>
        <v>19.333333333333332</v>
      </c>
      <c r="T74" s="25">
        <f t="shared" si="13"/>
        <v>6.027713773341711</v>
      </c>
    </row>
    <row r="75" spans="1:20" x14ac:dyDescent="0.2">
      <c r="A75" s="7" t="s">
        <v>0</v>
      </c>
      <c r="B75" s="1">
        <v>5</v>
      </c>
      <c r="C75" s="1">
        <v>12.5</v>
      </c>
      <c r="D75" s="1">
        <v>10</v>
      </c>
      <c r="E75" s="7">
        <v>16.48</v>
      </c>
      <c r="F75" s="1">
        <v>30</v>
      </c>
      <c r="G75" s="1">
        <v>8</v>
      </c>
      <c r="H75" s="7">
        <v>1</v>
      </c>
      <c r="I75" s="5">
        <f t="shared" si="7"/>
        <v>250.82475746260911</v>
      </c>
      <c r="J75" s="5">
        <f t="shared" si="8"/>
        <v>280.43060406314584</v>
      </c>
      <c r="K75" s="5">
        <f t="shared" si="9"/>
        <v>8.3608252487536365</v>
      </c>
      <c r="L75" s="30">
        <f t="shared" si="10"/>
        <v>1.9894367886486917</v>
      </c>
      <c r="M75" s="8">
        <f t="shared" si="11"/>
        <v>0.74781494416838901</v>
      </c>
      <c r="N75" s="2">
        <v>25</v>
      </c>
      <c r="O75" s="2">
        <v>12</v>
      </c>
      <c r="P75" s="2">
        <v>16</v>
      </c>
      <c r="S75" s="22">
        <f t="shared" si="12"/>
        <v>17.666666666666668</v>
      </c>
      <c r="T75" s="25">
        <f t="shared" si="13"/>
        <v>6.6583281184793917</v>
      </c>
    </row>
    <row r="76" spans="1:20" x14ac:dyDescent="0.2">
      <c r="A76" s="7" t="s">
        <v>0</v>
      </c>
      <c r="B76" s="1">
        <v>5</v>
      </c>
      <c r="C76" s="1">
        <v>12.5</v>
      </c>
      <c r="D76" s="1">
        <v>10</v>
      </c>
      <c r="E76" s="7">
        <v>16.48</v>
      </c>
      <c r="F76" s="1">
        <v>30</v>
      </c>
      <c r="G76" s="1">
        <v>1</v>
      </c>
      <c r="H76" s="7">
        <v>2</v>
      </c>
      <c r="I76" s="5">
        <f t="shared" si="7"/>
        <v>62.706189365652278</v>
      </c>
      <c r="J76" s="5">
        <f t="shared" si="8"/>
        <v>70.107651015786459</v>
      </c>
      <c r="K76" s="5">
        <f t="shared" si="9"/>
        <v>2.0902063121884091</v>
      </c>
      <c r="L76" s="30">
        <f t="shared" si="10"/>
        <v>0.99471839432434583</v>
      </c>
      <c r="M76" s="8">
        <f t="shared" si="11"/>
        <v>0.3739074720841945</v>
      </c>
      <c r="N76" s="2">
        <v>24</v>
      </c>
      <c r="O76" s="2">
        <v>23</v>
      </c>
      <c r="P76" s="2">
        <v>24</v>
      </c>
      <c r="Q76" s="2"/>
      <c r="R76" s="2"/>
      <c r="S76" s="22">
        <f t="shared" si="12"/>
        <v>23.666666666666668</v>
      </c>
      <c r="T76" s="25">
        <f t="shared" si="13"/>
        <v>0.57735026918962584</v>
      </c>
    </row>
    <row r="77" spans="1:20" x14ac:dyDescent="0.2">
      <c r="A77" s="7" t="s">
        <v>0</v>
      </c>
      <c r="B77" s="1">
        <v>5</v>
      </c>
      <c r="C77" s="1">
        <v>12.5</v>
      </c>
      <c r="D77" s="1">
        <v>10</v>
      </c>
      <c r="E77" s="7">
        <v>16.48</v>
      </c>
      <c r="F77" s="1">
        <v>30</v>
      </c>
      <c r="G77" s="1">
        <v>2</v>
      </c>
      <c r="H77" s="7">
        <v>2</v>
      </c>
      <c r="I77" s="5">
        <f t="shared" si="7"/>
        <v>125.41237873130456</v>
      </c>
      <c r="J77" s="5">
        <f t="shared" si="8"/>
        <v>140.21530203157292</v>
      </c>
      <c r="K77" s="5">
        <f t="shared" si="9"/>
        <v>4.1804126243768183</v>
      </c>
      <c r="L77" s="30">
        <f t="shared" si="10"/>
        <v>0.99471839432434583</v>
      </c>
      <c r="M77" s="8">
        <f t="shared" si="11"/>
        <v>0.74781494416838901</v>
      </c>
      <c r="N77" s="2">
        <v>33</v>
      </c>
      <c r="O77" s="2">
        <v>34</v>
      </c>
      <c r="P77" s="2">
        <v>44</v>
      </c>
      <c r="Q77" s="2"/>
      <c r="R77" s="2"/>
      <c r="S77" s="22">
        <f t="shared" si="12"/>
        <v>37</v>
      </c>
      <c r="T77" s="25">
        <f t="shared" si="13"/>
        <v>6.0827625302982193</v>
      </c>
    </row>
    <row r="78" spans="1:20" x14ac:dyDescent="0.2">
      <c r="A78" s="7" t="s">
        <v>0</v>
      </c>
      <c r="B78" s="1">
        <v>5</v>
      </c>
      <c r="C78" s="1">
        <v>12.5</v>
      </c>
      <c r="D78" s="1">
        <v>10</v>
      </c>
      <c r="E78" s="7">
        <v>16.48</v>
      </c>
      <c r="F78" s="1">
        <v>30</v>
      </c>
      <c r="G78" s="1">
        <v>3</v>
      </c>
      <c r="H78" s="7">
        <v>2</v>
      </c>
      <c r="I78" s="5">
        <f t="shared" si="7"/>
        <v>188.11856809695681</v>
      </c>
      <c r="J78" s="5">
        <f t="shared" si="8"/>
        <v>210.32295304735933</v>
      </c>
      <c r="K78" s="5">
        <f t="shared" si="9"/>
        <v>6.270618936565227</v>
      </c>
      <c r="L78" s="30">
        <f t="shared" si="10"/>
        <v>0.99471839432434583</v>
      </c>
      <c r="M78" s="8">
        <f t="shared" si="11"/>
        <v>1.1217224162525832</v>
      </c>
      <c r="N78" s="2">
        <v>57</v>
      </c>
      <c r="O78" s="2">
        <v>67</v>
      </c>
      <c r="P78" s="2">
        <v>70</v>
      </c>
      <c r="Q78" s="2"/>
      <c r="R78" s="2"/>
      <c r="S78" s="22">
        <f t="shared" si="12"/>
        <v>64.666666666666671</v>
      </c>
      <c r="T78" s="25">
        <f t="shared" si="13"/>
        <v>6.8068592855540455</v>
      </c>
    </row>
    <row r="79" spans="1:20" x14ac:dyDescent="0.2">
      <c r="A79" s="7" t="s">
        <v>0</v>
      </c>
      <c r="B79" s="1">
        <v>5</v>
      </c>
      <c r="C79" s="1">
        <v>12.5</v>
      </c>
      <c r="D79" s="1">
        <v>10</v>
      </c>
      <c r="E79" s="7">
        <v>16.48</v>
      </c>
      <c r="F79" s="1">
        <v>30</v>
      </c>
      <c r="G79" s="1">
        <v>4</v>
      </c>
      <c r="H79" s="7">
        <v>2</v>
      </c>
      <c r="I79" s="5">
        <f t="shared" si="7"/>
        <v>250.82475746260911</v>
      </c>
      <c r="J79" s="5">
        <f t="shared" si="8"/>
        <v>280.43060406314584</v>
      </c>
      <c r="K79" s="5">
        <f t="shared" si="9"/>
        <v>8.3608252487536365</v>
      </c>
      <c r="L79" s="30">
        <f t="shared" si="10"/>
        <v>0.99471839432434583</v>
      </c>
      <c r="M79" s="8">
        <f t="shared" si="11"/>
        <v>1.495629888336778</v>
      </c>
      <c r="N79" s="2">
        <v>90</v>
      </c>
      <c r="O79" s="2">
        <v>105</v>
      </c>
      <c r="P79" s="2">
        <v>74</v>
      </c>
      <c r="Q79" s="2"/>
      <c r="R79" s="2"/>
      <c r="S79" s="22">
        <f t="shared" si="12"/>
        <v>89.666666666666671</v>
      </c>
      <c r="T79" s="25">
        <f t="shared" si="13"/>
        <v>15.502687938977999</v>
      </c>
    </row>
    <row r="80" spans="1:20" x14ac:dyDescent="0.2">
      <c r="A80" s="7" t="s">
        <v>0</v>
      </c>
      <c r="B80" s="1">
        <v>5</v>
      </c>
      <c r="C80" s="1">
        <v>12.5</v>
      </c>
      <c r="D80" s="1">
        <v>10</v>
      </c>
      <c r="E80" s="7">
        <v>16.48</v>
      </c>
      <c r="F80" s="1">
        <v>30</v>
      </c>
      <c r="G80" s="1">
        <v>5</v>
      </c>
      <c r="H80" s="7">
        <v>2</v>
      </c>
      <c r="I80" s="5">
        <f t="shared" si="7"/>
        <v>313.53094682826139</v>
      </c>
      <c r="J80" s="5">
        <f t="shared" si="8"/>
        <v>350.53825507893231</v>
      </c>
      <c r="K80" s="5">
        <f t="shared" si="9"/>
        <v>10.451031560942047</v>
      </c>
      <c r="L80" s="30">
        <f t="shared" si="10"/>
        <v>0.99471839432434583</v>
      </c>
      <c r="M80" s="8">
        <f t="shared" si="11"/>
        <v>1.8695373604209722</v>
      </c>
      <c r="N80" s="2">
        <v>94</v>
      </c>
      <c r="O80" s="2">
        <v>102</v>
      </c>
      <c r="P80" s="2">
        <v>88</v>
      </c>
      <c r="Q80" s="2"/>
      <c r="R80" s="2"/>
      <c r="S80" s="22">
        <f t="shared" si="12"/>
        <v>94.666666666666671</v>
      </c>
      <c r="T80" s="25">
        <f t="shared" si="13"/>
        <v>7.0237691685684922</v>
      </c>
    </row>
    <row r="81" spans="1:20" x14ac:dyDescent="0.2">
      <c r="A81" s="7" t="s">
        <v>0</v>
      </c>
      <c r="B81" s="1">
        <v>5</v>
      </c>
      <c r="C81" s="1">
        <v>12.5</v>
      </c>
      <c r="D81" s="1">
        <v>10</v>
      </c>
      <c r="E81" s="7">
        <v>16.48</v>
      </c>
      <c r="F81" s="1">
        <v>30</v>
      </c>
      <c r="G81" s="1">
        <v>6</v>
      </c>
      <c r="H81" s="7">
        <v>2</v>
      </c>
      <c r="I81" s="5">
        <f t="shared" si="7"/>
        <v>376.23713619391361</v>
      </c>
      <c r="J81" s="5">
        <f t="shared" si="8"/>
        <v>420.64590609471867</v>
      </c>
      <c r="K81" s="5">
        <f t="shared" si="9"/>
        <v>12.541237873130454</v>
      </c>
      <c r="L81" s="30">
        <f t="shared" si="10"/>
        <v>0.99471839432434583</v>
      </c>
      <c r="M81" s="8">
        <f t="shared" si="11"/>
        <v>2.2434448325051664</v>
      </c>
      <c r="N81" s="2">
        <v>96</v>
      </c>
      <c r="O81" s="2">
        <v>96</v>
      </c>
      <c r="P81" s="2">
        <v>86</v>
      </c>
      <c r="Q81" s="2"/>
      <c r="R81" s="2"/>
      <c r="S81" s="22">
        <f t="shared" si="12"/>
        <v>92.666666666666671</v>
      </c>
      <c r="T81" s="25">
        <f t="shared" si="13"/>
        <v>5.7735026918962573</v>
      </c>
    </row>
    <row r="82" spans="1:20" x14ac:dyDescent="0.2">
      <c r="A82" s="7" t="s">
        <v>0</v>
      </c>
      <c r="B82" s="1">
        <v>5</v>
      </c>
      <c r="C82" s="1">
        <v>12.5</v>
      </c>
      <c r="D82" s="1">
        <v>10</v>
      </c>
      <c r="E82" s="7">
        <v>16.48</v>
      </c>
      <c r="F82" s="1">
        <v>30</v>
      </c>
      <c r="G82" s="1">
        <v>7</v>
      </c>
      <c r="H82" s="7">
        <v>2</v>
      </c>
      <c r="I82" s="5">
        <f t="shared" si="7"/>
        <v>438.94332555956589</v>
      </c>
      <c r="J82" s="5">
        <f t="shared" si="8"/>
        <v>490.75355711050514</v>
      </c>
      <c r="K82" s="5">
        <f t="shared" si="9"/>
        <v>14.631444185318863</v>
      </c>
      <c r="L82" s="30">
        <f t="shared" si="10"/>
        <v>0.99471839432434583</v>
      </c>
      <c r="M82" s="8">
        <f t="shared" si="11"/>
        <v>2.6173523045893607</v>
      </c>
      <c r="N82" s="2">
        <v>82</v>
      </c>
      <c r="O82" s="2">
        <v>46</v>
      </c>
      <c r="P82" s="2">
        <v>50</v>
      </c>
      <c r="Q82" s="2"/>
      <c r="R82" s="2"/>
      <c r="S82" s="22">
        <f t="shared" si="12"/>
        <v>59.333333333333336</v>
      </c>
      <c r="T82" s="25">
        <f t="shared" si="13"/>
        <v>19.731531449264981</v>
      </c>
    </row>
    <row r="83" spans="1:20" x14ac:dyDescent="0.2">
      <c r="A83" s="7" t="s">
        <v>0</v>
      </c>
      <c r="B83" s="1">
        <v>5</v>
      </c>
      <c r="C83" s="1">
        <v>12.5</v>
      </c>
      <c r="D83" s="1">
        <v>10</v>
      </c>
      <c r="E83" s="7">
        <v>16.48</v>
      </c>
      <c r="F83" s="1">
        <v>30</v>
      </c>
      <c r="G83" s="1">
        <v>1</v>
      </c>
      <c r="H83" s="7">
        <v>3</v>
      </c>
      <c r="I83" s="5">
        <f t="shared" si="7"/>
        <v>94.059284048478403</v>
      </c>
      <c r="J83" s="5">
        <f t="shared" si="8"/>
        <v>105.16147652367967</v>
      </c>
      <c r="K83" s="5">
        <f t="shared" si="9"/>
        <v>3.1353094682826135</v>
      </c>
      <c r="L83" s="30">
        <f t="shared" si="10"/>
        <v>0.66314559621623059</v>
      </c>
      <c r="M83" s="8">
        <f t="shared" si="11"/>
        <v>0.84129181218943727</v>
      </c>
      <c r="N83" s="2">
        <v>24</v>
      </c>
      <c r="O83" s="2">
        <v>23</v>
      </c>
      <c r="P83" s="2">
        <v>23</v>
      </c>
      <c r="Q83" s="2"/>
      <c r="R83" s="2"/>
      <c r="S83" s="22">
        <f t="shared" si="12"/>
        <v>23.333333333333332</v>
      </c>
      <c r="T83" s="25">
        <f t="shared" si="13"/>
        <v>0.57735026918962584</v>
      </c>
    </row>
    <row r="84" spans="1:20" x14ac:dyDescent="0.2">
      <c r="A84" s="7" t="s">
        <v>0</v>
      </c>
      <c r="B84" s="1">
        <v>5</v>
      </c>
      <c r="C84" s="1">
        <v>12.5</v>
      </c>
      <c r="D84" s="1">
        <v>10</v>
      </c>
      <c r="E84" s="7">
        <v>16.48</v>
      </c>
      <c r="F84" s="1">
        <v>30</v>
      </c>
      <c r="G84" s="1">
        <v>2</v>
      </c>
      <c r="H84" s="7">
        <v>3</v>
      </c>
      <c r="I84" s="5">
        <f t="shared" si="7"/>
        <v>188.11856809695681</v>
      </c>
      <c r="J84" s="5">
        <f t="shared" si="8"/>
        <v>210.32295304735933</v>
      </c>
      <c r="K84" s="5">
        <f t="shared" si="9"/>
        <v>6.270618936565227</v>
      </c>
      <c r="L84" s="30">
        <f t="shared" si="10"/>
        <v>0.66314559621623059</v>
      </c>
      <c r="M84" s="8">
        <f t="shared" si="11"/>
        <v>1.6825836243788745</v>
      </c>
      <c r="N84" s="2">
        <v>70</v>
      </c>
      <c r="O84" s="2">
        <v>63</v>
      </c>
      <c r="P84" s="2">
        <v>62</v>
      </c>
      <c r="Q84" s="2"/>
      <c r="R84" s="2"/>
      <c r="S84" s="22">
        <f t="shared" si="12"/>
        <v>65</v>
      </c>
      <c r="T84" s="25">
        <f t="shared" si="13"/>
        <v>4.358898943540674</v>
      </c>
    </row>
    <row r="85" spans="1:20" x14ac:dyDescent="0.2">
      <c r="A85" s="7" t="s">
        <v>0</v>
      </c>
      <c r="B85" s="1">
        <v>5</v>
      </c>
      <c r="C85" s="1">
        <v>12.5</v>
      </c>
      <c r="D85" s="1">
        <v>10</v>
      </c>
      <c r="E85" s="7">
        <v>16.48</v>
      </c>
      <c r="F85" s="1">
        <v>30</v>
      </c>
      <c r="G85" s="1">
        <v>3</v>
      </c>
      <c r="H85" s="7">
        <v>3</v>
      </c>
      <c r="I85" s="5">
        <f t="shared" si="7"/>
        <v>282.17785214543522</v>
      </c>
      <c r="J85" s="5">
        <f t="shared" si="8"/>
        <v>315.48442957103902</v>
      </c>
      <c r="K85" s="5">
        <f t="shared" si="9"/>
        <v>9.40592840484784</v>
      </c>
      <c r="L85" s="30">
        <f t="shared" si="10"/>
        <v>0.66314559621623059</v>
      </c>
      <c r="M85" s="8">
        <f t="shared" si="11"/>
        <v>2.523875436568312</v>
      </c>
      <c r="N85" s="2">
        <v>64</v>
      </c>
      <c r="O85" s="2">
        <v>62</v>
      </c>
      <c r="P85" s="2">
        <v>57</v>
      </c>
      <c r="Q85" s="2"/>
      <c r="R85" s="2"/>
      <c r="S85" s="22">
        <f t="shared" si="12"/>
        <v>61</v>
      </c>
      <c r="T85" s="25">
        <f t="shared" si="13"/>
        <v>3.6055512754639891</v>
      </c>
    </row>
    <row r="86" spans="1:20" x14ac:dyDescent="0.2">
      <c r="A86" s="7" t="s">
        <v>0</v>
      </c>
      <c r="B86" s="1">
        <v>5</v>
      </c>
      <c r="C86" s="1">
        <v>12.5</v>
      </c>
      <c r="D86" s="1">
        <v>10</v>
      </c>
      <c r="E86" s="7">
        <v>16.48</v>
      </c>
      <c r="F86" s="1">
        <v>30</v>
      </c>
      <c r="G86" s="1">
        <v>4</v>
      </c>
      <c r="H86" s="7">
        <v>3</v>
      </c>
      <c r="I86" s="5">
        <f t="shared" si="7"/>
        <v>376.23713619391361</v>
      </c>
      <c r="J86" s="5">
        <f t="shared" si="8"/>
        <v>420.64590609471867</v>
      </c>
      <c r="K86" s="5">
        <f t="shared" si="9"/>
        <v>12.541237873130454</v>
      </c>
      <c r="L86" s="30">
        <f t="shared" si="10"/>
        <v>0.66314559621623059</v>
      </c>
      <c r="M86" s="8">
        <f t="shared" si="11"/>
        <v>3.3651672487577491</v>
      </c>
      <c r="N86" s="2">
        <v>51</v>
      </c>
      <c r="O86" s="2">
        <v>53</v>
      </c>
      <c r="P86" s="2">
        <v>54</v>
      </c>
      <c r="Q86" s="2"/>
      <c r="R86" s="2"/>
      <c r="S86" s="22">
        <f t="shared" si="12"/>
        <v>52.666666666666664</v>
      </c>
      <c r="T86" s="25">
        <f t="shared" si="13"/>
        <v>1.5275252316519465</v>
      </c>
    </row>
    <row r="87" spans="1:20" x14ac:dyDescent="0.2">
      <c r="A87" s="7" t="s">
        <v>0</v>
      </c>
      <c r="B87" s="1">
        <v>5</v>
      </c>
      <c r="C87" s="1">
        <v>12.5</v>
      </c>
      <c r="D87" s="1">
        <v>10</v>
      </c>
      <c r="E87" s="7">
        <v>16.48</v>
      </c>
      <c r="F87" s="1">
        <v>30</v>
      </c>
      <c r="G87" s="1">
        <v>5</v>
      </c>
      <c r="H87" s="7">
        <v>3</v>
      </c>
      <c r="I87" s="5">
        <f t="shared" si="7"/>
        <v>470.29642024239212</v>
      </c>
      <c r="J87" s="5">
        <f t="shared" si="8"/>
        <v>525.80738261839849</v>
      </c>
      <c r="K87" s="5">
        <f t="shared" si="9"/>
        <v>15.676547341413071</v>
      </c>
      <c r="L87" s="30">
        <f t="shared" si="10"/>
        <v>0.66314559621623059</v>
      </c>
      <c r="M87" s="8">
        <f t="shared" si="11"/>
        <v>4.2064590609471875</v>
      </c>
      <c r="N87" s="2">
        <v>47</v>
      </c>
      <c r="O87" s="2">
        <v>44</v>
      </c>
      <c r="P87" s="2">
        <v>45</v>
      </c>
      <c r="Q87" s="2"/>
      <c r="R87" s="2"/>
      <c r="S87" s="22">
        <f t="shared" si="12"/>
        <v>45.333333333333336</v>
      </c>
      <c r="T87" s="25">
        <f t="shared" si="13"/>
        <v>1.5275252316519465</v>
      </c>
    </row>
    <row r="88" spans="1:20" x14ac:dyDescent="0.2">
      <c r="A88" s="7" t="s">
        <v>0</v>
      </c>
      <c r="B88" s="1">
        <v>5</v>
      </c>
      <c r="C88" s="1">
        <v>12.5</v>
      </c>
      <c r="D88" s="1">
        <v>10</v>
      </c>
      <c r="E88" s="7">
        <v>16.48</v>
      </c>
      <c r="F88" s="1">
        <v>30</v>
      </c>
      <c r="G88" s="1">
        <v>6</v>
      </c>
      <c r="H88" s="7">
        <v>3</v>
      </c>
      <c r="I88" s="5">
        <f t="shared" si="7"/>
        <v>564.35570429087045</v>
      </c>
      <c r="J88" s="5">
        <f t="shared" si="8"/>
        <v>630.96885914207803</v>
      </c>
      <c r="K88" s="5">
        <f t="shared" si="9"/>
        <v>18.81185680969568</v>
      </c>
      <c r="L88" s="30">
        <f t="shared" si="10"/>
        <v>0.66314559621623059</v>
      </c>
      <c r="M88" s="8">
        <f t="shared" si="11"/>
        <v>5.0477508731366241</v>
      </c>
      <c r="N88" s="2">
        <v>39</v>
      </c>
      <c r="O88" s="2">
        <v>41</v>
      </c>
      <c r="P88" s="2">
        <v>41</v>
      </c>
      <c r="Q88" s="2"/>
      <c r="R88" s="2"/>
      <c r="S88" s="22">
        <f t="shared" si="12"/>
        <v>40.333333333333336</v>
      </c>
      <c r="T88" s="25">
        <f t="shared" si="13"/>
        <v>1.1547005383792517</v>
      </c>
    </row>
    <row r="89" spans="1:20" x14ac:dyDescent="0.2">
      <c r="A89" s="7" t="s">
        <v>0</v>
      </c>
      <c r="B89" s="1">
        <v>5</v>
      </c>
      <c r="C89" s="1">
        <v>12.5</v>
      </c>
      <c r="D89" s="1">
        <v>10</v>
      </c>
      <c r="E89" s="7">
        <v>16.48</v>
      </c>
      <c r="F89" s="1">
        <v>30</v>
      </c>
      <c r="G89" s="1">
        <v>1</v>
      </c>
      <c r="H89" s="7">
        <v>4</v>
      </c>
      <c r="I89" s="5">
        <f t="shared" si="7"/>
        <v>125.41237873130456</v>
      </c>
      <c r="J89" s="5">
        <f t="shared" si="8"/>
        <v>140.21530203157292</v>
      </c>
      <c r="K89" s="5">
        <f t="shared" si="9"/>
        <v>4.1804126243768183</v>
      </c>
      <c r="L89" s="30">
        <f t="shared" si="10"/>
        <v>0.49735919716217292</v>
      </c>
      <c r="M89" s="8">
        <f t="shared" si="11"/>
        <v>1.495629888336778</v>
      </c>
      <c r="N89" s="2">
        <v>36</v>
      </c>
      <c r="O89" s="2">
        <v>28</v>
      </c>
      <c r="P89" s="2">
        <v>26</v>
      </c>
      <c r="Q89" s="2"/>
      <c r="R89" s="2"/>
      <c r="S89" s="22">
        <f t="shared" si="12"/>
        <v>30</v>
      </c>
      <c r="T89" s="25">
        <f t="shared" si="13"/>
        <v>5.2915026221291814</v>
      </c>
    </row>
    <row r="90" spans="1:20" x14ac:dyDescent="0.2">
      <c r="A90" s="7" t="s">
        <v>0</v>
      </c>
      <c r="B90" s="1">
        <v>5</v>
      </c>
      <c r="C90" s="1">
        <v>12.5</v>
      </c>
      <c r="D90" s="1">
        <v>10</v>
      </c>
      <c r="E90" s="7">
        <v>16.48</v>
      </c>
      <c r="F90" s="1">
        <v>30</v>
      </c>
      <c r="G90" s="1">
        <v>2</v>
      </c>
      <c r="H90" s="7">
        <v>4</v>
      </c>
      <c r="I90" s="5">
        <f t="shared" si="7"/>
        <v>250.82475746260911</v>
      </c>
      <c r="J90" s="5">
        <f t="shared" si="8"/>
        <v>280.43060406314584</v>
      </c>
      <c r="K90" s="5">
        <f t="shared" si="9"/>
        <v>8.3608252487536365</v>
      </c>
      <c r="L90" s="30">
        <f t="shared" si="10"/>
        <v>0.49735919716217292</v>
      </c>
      <c r="M90" s="8">
        <f t="shared" si="11"/>
        <v>2.991259776673556</v>
      </c>
      <c r="N90" s="2">
        <v>34</v>
      </c>
      <c r="O90" s="2">
        <v>26</v>
      </c>
      <c r="P90" s="2">
        <v>35</v>
      </c>
      <c r="Q90" s="2"/>
      <c r="R90" s="2"/>
      <c r="S90" s="22">
        <f t="shared" si="12"/>
        <v>31.666666666666668</v>
      </c>
      <c r="T90" s="25">
        <f t="shared" si="13"/>
        <v>4.93288286231624</v>
      </c>
    </row>
    <row r="91" spans="1:20" x14ac:dyDescent="0.2">
      <c r="A91" s="7" t="s">
        <v>0</v>
      </c>
      <c r="B91" s="1">
        <v>5</v>
      </c>
      <c r="C91" s="1">
        <v>12.5</v>
      </c>
      <c r="D91" s="1">
        <v>10</v>
      </c>
      <c r="E91" s="7">
        <v>16.48</v>
      </c>
      <c r="F91" s="1">
        <v>30</v>
      </c>
      <c r="G91" s="1">
        <v>3</v>
      </c>
      <c r="H91" s="7">
        <v>4</v>
      </c>
      <c r="I91" s="5">
        <f t="shared" si="7"/>
        <v>376.23713619391361</v>
      </c>
      <c r="J91" s="5">
        <f t="shared" si="8"/>
        <v>420.64590609471867</v>
      </c>
      <c r="K91" s="5">
        <f t="shared" si="9"/>
        <v>12.541237873130454</v>
      </c>
      <c r="L91" s="30">
        <f t="shared" si="10"/>
        <v>0.49735919716217292</v>
      </c>
      <c r="M91" s="8">
        <f t="shared" si="11"/>
        <v>4.4868896650103327</v>
      </c>
      <c r="N91" s="2">
        <v>40</v>
      </c>
      <c r="O91" s="2">
        <v>42</v>
      </c>
      <c r="P91" s="2">
        <v>50</v>
      </c>
      <c r="Q91" s="2"/>
      <c r="R91" s="2"/>
      <c r="S91" s="22">
        <f t="shared" si="12"/>
        <v>44</v>
      </c>
      <c r="T91" s="25">
        <f t="shared" si="13"/>
        <v>5.2915026221291814</v>
      </c>
    </row>
    <row r="92" spans="1:20" x14ac:dyDescent="0.2">
      <c r="A92" s="7" t="s">
        <v>0</v>
      </c>
      <c r="B92" s="1">
        <v>5</v>
      </c>
      <c r="C92" s="1">
        <v>12.5</v>
      </c>
      <c r="D92" s="1">
        <v>10</v>
      </c>
      <c r="E92" s="7">
        <v>16.48</v>
      </c>
      <c r="F92" s="1">
        <v>30</v>
      </c>
      <c r="G92" s="1">
        <v>4</v>
      </c>
      <c r="H92" s="7">
        <v>4</v>
      </c>
      <c r="I92" s="5">
        <f t="shared" si="7"/>
        <v>501.64951492521823</v>
      </c>
      <c r="J92" s="5">
        <f t="shared" si="8"/>
        <v>560.86120812629167</v>
      </c>
      <c r="K92" s="5">
        <f t="shared" si="9"/>
        <v>16.721650497507273</v>
      </c>
      <c r="L92" s="30">
        <f t="shared" si="10"/>
        <v>0.49735919716217292</v>
      </c>
      <c r="M92" s="8">
        <f t="shared" si="11"/>
        <v>5.9825195533471121</v>
      </c>
      <c r="N92" s="2">
        <v>32</v>
      </c>
      <c r="O92" s="2">
        <v>34</v>
      </c>
      <c r="P92" s="2">
        <v>35</v>
      </c>
      <c r="Q92" s="2"/>
      <c r="R92" s="2"/>
      <c r="S92" s="22">
        <f t="shared" si="12"/>
        <v>33.666666666666664</v>
      </c>
      <c r="T92" s="25">
        <f t="shared" si="13"/>
        <v>1.5275252316519465</v>
      </c>
    </row>
    <row r="93" spans="1:20" x14ac:dyDescent="0.2">
      <c r="A93" s="7" t="s">
        <v>0</v>
      </c>
      <c r="B93" s="1">
        <v>5</v>
      </c>
      <c r="C93" s="1">
        <v>12.5</v>
      </c>
      <c r="D93" s="1">
        <v>10</v>
      </c>
      <c r="E93" s="7">
        <v>16.48</v>
      </c>
      <c r="F93" s="1">
        <v>30</v>
      </c>
      <c r="G93" s="1">
        <v>5</v>
      </c>
      <c r="H93" s="7">
        <v>4</v>
      </c>
      <c r="I93" s="5">
        <f t="shared" si="7"/>
        <v>627.06189365652278</v>
      </c>
      <c r="J93" s="5">
        <f t="shared" si="8"/>
        <v>701.07651015786462</v>
      </c>
      <c r="K93" s="5">
        <f t="shared" si="9"/>
        <v>20.902063121884094</v>
      </c>
      <c r="L93" s="30">
        <f t="shared" si="10"/>
        <v>0.49735919716217292</v>
      </c>
      <c r="M93" s="8">
        <f t="shared" si="11"/>
        <v>7.4781494416838887</v>
      </c>
      <c r="N93" s="2">
        <v>30</v>
      </c>
      <c r="O93" s="2">
        <v>30</v>
      </c>
      <c r="P93" s="2">
        <v>32</v>
      </c>
      <c r="Q93" s="2"/>
      <c r="R93" s="2"/>
      <c r="S93" s="22">
        <f t="shared" si="12"/>
        <v>30.666666666666668</v>
      </c>
      <c r="T93" s="25">
        <f t="shared" si="13"/>
        <v>1.1547005383792515</v>
      </c>
    </row>
    <row r="94" spans="1:20" x14ac:dyDescent="0.2">
      <c r="A94" s="7" t="s">
        <v>0</v>
      </c>
      <c r="B94" s="1">
        <v>5</v>
      </c>
      <c r="C94" s="1">
        <v>12.5</v>
      </c>
      <c r="D94" s="1">
        <v>10</v>
      </c>
      <c r="E94" s="7">
        <v>16.48</v>
      </c>
      <c r="F94" s="1">
        <v>30</v>
      </c>
      <c r="G94" s="1">
        <v>6</v>
      </c>
      <c r="H94" s="7">
        <v>4</v>
      </c>
      <c r="I94" s="5">
        <f t="shared" si="7"/>
        <v>752.47427238782723</v>
      </c>
      <c r="J94" s="5">
        <f t="shared" si="8"/>
        <v>841.29181218943734</v>
      </c>
      <c r="K94" s="5">
        <f t="shared" si="9"/>
        <v>25.082475746260908</v>
      </c>
      <c r="L94" s="30">
        <f t="shared" si="10"/>
        <v>0.49735919716217292</v>
      </c>
      <c r="M94" s="8">
        <f t="shared" si="11"/>
        <v>8.9737793300206654</v>
      </c>
      <c r="N94" s="2">
        <v>26</v>
      </c>
      <c r="O94" s="2">
        <v>24</v>
      </c>
      <c r="P94" s="2">
        <v>32</v>
      </c>
      <c r="Q94" s="2"/>
      <c r="R94" s="2"/>
      <c r="S94" s="22">
        <f t="shared" si="12"/>
        <v>27.333333333333332</v>
      </c>
      <c r="T94" s="25">
        <f t="shared" si="13"/>
        <v>4.1633319989322564</v>
      </c>
    </row>
    <row r="95" spans="1:20" x14ac:dyDescent="0.2">
      <c r="A95" s="7" t="s">
        <v>0</v>
      </c>
      <c r="B95" s="1">
        <v>5</v>
      </c>
      <c r="C95" s="1">
        <v>12.5</v>
      </c>
      <c r="D95" s="1">
        <v>10</v>
      </c>
      <c r="E95" s="7">
        <v>16.48</v>
      </c>
      <c r="F95" s="1">
        <v>30</v>
      </c>
      <c r="G95" s="1">
        <v>1</v>
      </c>
      <c r="H95" s="7">
        <v>8</v>
      </c>
      <c r="I95" s="5">
        <f t="shared" si="7"/>
        <v>250.82475746260911</v>
      </c>
      <c r="J95" s="5">
        <f t="shared" si="8"/>
        <v>280.43060406314584</v>
      </c>
      <c r="K95" s="5">
        <f t="shared" si="9"/>
        <v>8.3608252487536365</v>
      </c>
      <c r="L95" s="30">
        <f t="shared" si="10"/>
        <v>0.24867959858108646</v>
      </c>
      <c r="M95" s="8">
        <f t="shared" si="11"/>
        <v>5.9825195533471121</v>
      </c>
      <c r="N95" s="2">
        <v>25</v>
      </c>
      <c r="O95" s="2">
        <v>29</v>
      </c>
      <c r="P95" s="2">
        <v>25</v>
      </c>
      <c r="Q95" s="2"/>
      <c r="R95" s="2"/>
      <c r="S95" s="22">
        <f t="shared" si="12"/>
        <v>26.333333333333332</v>
      </c>
      <c r="T95" s="25">
        <f t="shared" si="13"/>
        <v>2.3094010767585034</v>
      </c>
    </row>
    <row r="96" spans="1:20" x14ac:dyDescent="0.2">
      <c r="A96" s="7" t="s">
        <v>0</v>
      </c>
      <c r="B96" s="1">
        <v>5</v>
      </c>
      <c r="C96" s="1">
        <v>12.5</v>
      </c>
      <c r="D96" s="1">
        <v>10</v>
      </c>
      <c r="E96" s="7">
        <v>16.48</v>
      </c>
      <c r="F96" s="1">
        <v>30</v>
      </c>
      <c r="G96" s="1">
        <v>2</v>
      </c>
      <c r="H96" s="7">
        <v>8</v>
      </c>
      <c r="I96" s="5">
        <f t="shared" si="7"/>
        <v>501.64951492521823</v>
      </c>
      <c r="J96" s="5">
        <f t="shared" si="8"/>
        <v>560.86120812629167</v>
      </c>
      <c r="K96" s="5">
        <f t="shared" si="9"/>
        <v>16.721650497507273</v>
      </c>
      <c r="L96" s="30">
        <f t="shared" si="10"/>
        <v>0.24867959858108646</v>
      </c>
      <c r="M96" s="8">
        <f t="shared" si="11"/>
        <v>11.965039106694224</v>
      </c>
      <c r="N96" s="2">
        <v>19</v>
      </c>
      <c r="O96" s="2">
        <v>20</v>
      </c>
      <c r="P96" s="2">
        <v>22</v>
      </c>
      <c r="Q96" s="2"/>
      <c r="R96" s="2"/>
      <c r="S96" s="22">
        <f t="shared" si="12"/>
        <v>20.333333333333332</v>
      </c>
      <c r="T96" s="25">
        <f t="shared" si="13"/>
        <v>1.5275252316519465</v>
      </c>
    </row>
    <row r="97" spans="1:20" x14ac:dyDescent="0.2">
      <c r="A97" s="7" t="s">
        <v>0</v>
      </c>
      <c r="B97" s="1">
        <v>5</v>
      </c>
      <c r="C97" s="1">
        <v>12.5</v>
      </c>
      <c r="D97" s="1">
        <v>10</v>
      </c>
      <c r="E97" s="7">
        <v>16.48</v>
      </c>
      <c r="F97" s="1">
        <v>30</v>
      </c>
      <c r="G97" s="1">
        <v>3</v>
      </c>
      <c r="H97" s="7">
        <v>8</v>
      </c>
      <c r="I97" s="5">
        <f t="shared" si="7"/>
        <v>752.47427238782723</v>
      </c>
      <c r="J97" s="5">
        <f t="shared" si="8"/>
        <v>841.29181218943734</v>
      </c>
      <c r="K97" s="5">
        <f t="shared" si="9"/>
        <v>25.082475746260908</v>
      </c>
      <c r="L97" s="30">
        <f t="shared" si="10"/>
        <v>0.24867959858108646</v>
      </c>
      <c r="M97" s="8">
        <f t="shared" si="11"/>
        <v>17.947558660041331</v>
      </c>
      <c r="N97" s="2">
        <v>16</v>
      </c>
      <c r="O97" s="2">
        <v>14</v>
      </c>
      <c r="P97" s="2">
        <v>18</v>
      </c>
      <c r="Q97" s="2"/>
      <c r="R97" s="2"/>
      <c r="S97" s="22">
        <f t="shared" si="12"/>
        <v>16</v>
      </c>
      <c r="T97" s="25">
        <f t="shared" si="13"/>
        <v>2</v>
      </c>
    </row>
    <row r="98" spans="1:20" x14ac:dyDescent="0.2">
      <c r="A98" s="7" t="s">
        <v>0</v>
      </c>
      <c r="B98" s="1">
        <v>5</v>
      </c>
      <c r="C98" s="1">
        <v>12.5</v>
      </c>
      <c r="D98" s="1">
        <v>10</v>
      </c>
      <c r="E98" s="7">
        <v>16.48</v>
      </c>
      <c r="F98" s="1">
        <v>30</v>
      </c>
      <c r="G98" s="1">
        <v>4</v>
      </c>
      <c r="H98" s="7">
        <v>8</v>
      </c>
      <c r="I98" s="5">
        <f t="shared" si="7"/>
        <v>1003.2990298504365</v>
      </c>
      <c r="J98" s="5">
        <f t="shared" si="8"/>
        <v>1121.7224162525833</v>
      </c>
      <c r="K98" s="5">
        <f t="shared" si="9"/>
        <v>33.443300995014546</v>
      </c>
      <c r="L98" s="30">
        <f t="shared" si="10"/>
        <v>0.24867959858108646</v>
      </c>
      <c r="M98" s="8">
        <f t="shared" si="11"/>
        <v>23.930078213388448</v>
      </c>
      <c r="N98" s="2">
        <v>14</v>
      </c>
      <c r="O98" s="2">
        <v>13</v>
      </c>
      <c r="P98" s="2">
        <v>16</v>
      </c>
      <c r="Q98" s="2"/>
      <c r="R98" s="2"/>
      <c r="S98" s="22">
        <f t="shared" si="12"/>
        <v>14.333333333333334</v>
      </c>
      <c r="T98" s="25">
        <f t="shared" si="13"/>
        <v>1.5275252316519468</v>
      </c>
    </row>
    <row r="99" spans="1:20" x14ac:dyDescent="0.2">
      <c r="A99" s="7" t="s">
        <v>0</v>
      </c>
      <c r="B99" s="1">
        <v>5</v>
      </c>
      <c r="C99" s="1">
        <v>12.5</v>
      </c>
      <c r="D99" s="1">
        <v>10</v>
      </c>
      <c r="E99" s="7">
        <v>16.48</v>
      </c>
      <c r="F99" s="1">
        <v>40</v>
      </c>
      <c r="G99" s="1">
        <v>0</v>
      </c>
      <c r="H99" s="7">
        <v>0</v>
      </c>
      <c r="I99" s="5">
        <f t="shared" si="7"/>
        <v>0</v>
      </c>
      <c r="J99" s="5">
        <f t="shared" si="8"/>
        <v>0</v>
      </c>
      <c r="K99" s="5">
        <f t="shared" si="9"/>
        <v>0</v>
      </c>
      <c r="L99" s="30" t="e">
        <f t="shared" si="10"/>
        <v>#DIV/0!</v>
      </c>
      <c r="M99" s="8">
        <f t="shared" si="11"/>
        <v>0</v>
      </c>
      <c r="N99" s="2">
        <v>13</v>
      </c>
      <c r="O99" s="2">
        <v>12</v>
      </c>
      <c r="P99" s="2">
        <v>13</v>
      </c>
      <c r="Q99" s="2"/>
      <c r="R99" s="2"/>
      <c r="S99" s="22">
        <f t="shared" si="12"/>
        <v>12.666666666666666</v>
      </c>
      <c r="T99" s="25">
        <f t="shared" si="13"/>
        <v>0.57735026918962573</v>
      </c>
    </row>
    <row r="100" spans="1:20" x14ac:dyDescent="0.2">
      <c r="A100" s="7" t="s">
        <v>0</v>
      </c>
      <c r="B100" s="1">
        <v>5</v>
      </c>
      <c r="C100" s="1">
        <v>12.5</v>
      </c>
      <c r="D100" s="1">
        <v>10</v>
      </c>
      <c r="E100" s="7">
        <v>16.48</v>
      </c>
      <c r="F100" s="1">
        <v>40</v>
      </c>
      <c r="G100" s="1">
        <v>1</v>
      </c>
      <c r="H100" s="7">
        <v>1</v>
      </c>
      <c r="I100" s="5">
        <f t="shared" si="7"/>
        <v>31.353094682826139</v>
      </c>
      <c r="J100" s="5">
        <f t="shared" si="8"/>
        <v>35.053825507893229</v>
      </c>
      <c r="K100" s="5">
        <f t="shared" si="9"/>
        <v>0.78382736707065348</v>
      </c>
      <c r="L100" s="30">
        <f t="shared" si="10"/>
        <v>1.9894367886486917</v>
      </c>
      <c r="M100" s="8">
        <f t="shared" si="11"/>
        <v>7.0107651015786462E-2</v>
      </c>
      <c r="N100" s="2">
        <v>13</v>
      </c>
      <c r="O100" s="2">
        <v>12</v>
      </c>
      <c r="P100" s="2">
        <v>16</v>
      </c>
      <c r="Q100" s="2"/>
      <c r="R100" s="2"/>
      <c r="S100" s="22">
        <f t="shared" si="12"/>
        <v>13.666666666666666</v>
      </c>
      <c r="T100" s="25">
        <f t="shared" si="13"/>
        <v>2.0816659994661282</v>
      </c>
    </row>
    <row r="101" spans="1:20" x14ac:dyDescent="0.2">
      <c r="A101" s="7" t="s">
        <v>0</v>
      </c>
      <c r="B101" s="1">
        <v>5</v>
      </c>
      <c r="C101" s="1">
        <v>12.5</v>
      </c>
      <c r="D101" s="1">
        <v>10</v>
      </c>
      <c r="E101" s="7">
        <v>16.48</v>
      </c>
      <c r="F101" s="1">
        <v>40</v>
      </c>
      <c r="G101" s="1">
        <v>2</v>
      </c>
      <c r="H101" s="7">
        <v>1</v>
      </c>
      <c r="I101" s="5">
        <f t="shared" si="7"/>
        <v>62.706189365652278</v>
      </c>
      <c r="J101" s="5">
        <f t="shared" si="8"/>
        <v>70.107651015786459</v>
      </c>
      <c r="K101" s="5">
        <f t="shared" si="9"/>
        <v>1.567654734141307</v>
      </c>
      <c r="L101" s="30">
        <f t="shared" si="10"/>
        <v>1.9894367886486917</v>
      </c>
      <c r="M101" s="8">
        <f t="shared" si="11"/>
        <v>0.14021530203157292</v>
      </c>
      <c r="O101" s="2">
        <v>12</v>
      </c>
      <c r="P101" s="2">
        <v>12</v>
      </c>
      <c r="Q101" s="2"/>
      <c r="R101" s="2"/>
      <c r="S101" s="22">
        <f t="shared" si="12"/>
        <v>12</v>
      </c>
      <c r="T101" s="25">
        <f t="shared" si="13"/>
        <v>0</v>
      </c>
    </row>
    <row r="102" spans="1:20" x14ac:dyDescent="0.2">
      <c r="A102" s="7" t="s">
        <v>0</v>
      </c>
      <c r="B102" s="1">
        <v>5</v>
      </c>
      <c r="C102" s="1">
        <v>12.5</v>
      </c>
      <c r="D102" s="1">
        <v>10</v>
      </c>
      <c r="E102" s="7">
        <v>16.48</v>
      </c>
      <c r="F102" s="1">
        <v>40</v>
      </c>
      <c r="G102" s="1">
        <v>3</v>
      </c>
      <c r="H102" s="7">
        <v>1</v>
      </c>
      <c r="I102" s="5">
        <f t="shared" si="7"/>
        <v>94.059284048478403</v>
      </c>
      <c r="J102" s="5">
        <f t="shared" si="8"/>
        <v>105.16147652367967</v>
      </c>
      <c r="K102" s="5">
        <f t="shared" si="9"/>
        <v>2.35148210121196</v>
      </c>
      <c r="L102" s="30">
        <f t="shared" si="10"/>
        <v>1.9894367886486917</v>
      </c>
      <c r="M102" s="8">
        <f t="shared" si="11"/>
        <v>0.21032295304735932</v>
      </c>
      <c r="O102" s="2">
        <v>14</v>
      </c>
      <c r="P102" s="2">
        <v>14</v>
      </c>
      <c r="Q102" s="2"/>
      <c r="R102" s="2"/>
      <c r="S102" s="22">
        <f t="shared" si="12"/>
        <v>14</v>
      </c>
      <c r="T102" s="25">
        <f t="shared" si="13"/>
        <v>0</v>
      </c>
    </row>
    <row r="103" spans="1:20" x14ac:dyDescent="0.2">
      <c r="A103" s="7" t="s">
        <v>0</v>
      </c>
      <c r="B103" s="1">
        <v>5</v>
      </c>
      <c r="C103" s="1">
        <v>12.5</v>
      </c>
      <c r="D103" s="1">
        <v>10</v>
      </c>
      <c r="E103" s="7">
        <v>16.48</v>
      </c>
      <c r="F103" s="1">
        <v>40</v>
      </c>
      <c r="G103" s="1">
        <v>4</v>
      </c>
      <c r="H103" s="7">
        <v>1</v>
      </c>
      <c r="I103" s="5">
        <f t="shared" si="7"/>
        <v>125.41237873130456</v>
      </c>
      <c r="J103" s="5">
        <f t="shared" si="8"/>
        <v>140.21530203157292</v>
      </c>
      <c r="K103" s="5">
        <f t="shared" si="9"/>
        <v>3.1353094682826139</v>
      </c>
      <c r="L103" s="30">
        <f t="shared" si="10"/>
        <v>1.9894367886486917</v>
      </c>
      <c r="M103" s="8">
        <f t="shared" si="11"/>
        <v>0.28043060406314585</v>
      </c>
      <c r="O103" s="2">
        <v>14</v>
      </c>
      <c r="P103" s="2">
        <v>10</v>
      </c>
      <c r="Q103" s="2"/>
      <c r="R103" s="2"/>
      <c r="S103" s="22">
        <f t="shared" si="12"/>
        <v>12</v>
      </c>
      <c r="T103" s="25">
        <f t="shared" si="13"/>
        <v>2.8284271247461903</v>
      </c>
    </row>
    <row r="104" spans="1:20" x14ac:dyDescent="0.2">
      <c r="A104" s="7" t="s">
        <v>0</v>
      </c>
      <c r="B104" s="1">
        <v>5</v>
      </c>
      <c r="C104" s="1">
        <v>12.5</v>
      </c>
      <c r="D104" s="1">
        <v>10</v>
      </c>
      <c r="E104" s="7">
        <v>16.48</v>
      </c>
      <c r="F104" s="1">
        <v>40</v>
      </c>
      <c r="G104" s="1">
        <v>5</v>
      </c>
      <c r="H104" s="7">
        <v>1</v>
      </c>
      <c r="I104" s="5">
        <f t="shared" si="7"/>
        <v>156.7654734141307</v>
      </c>
      <c r="J104" s="5">
        <f t="shared" si="8"/>
        <v>175.26912753946615</v>
      </c>
      <c r="K104" s="5">
        <f t="shared" si="9"/>
        <v>3.9191368353532674</v>
      </c>
      <c r="L104" s="30">
        <f t="shared" si="10"/>
        <v>1.9894367886486917</v>
      </c>
      <c r="M104" s="8">
        <f t="shared" si="11"/>
        <v>0.35053825507893233</v>
      </c>
      <c r="O104" s="2">
        <v>12</v>
      </c>
      <c r="P104" s="2">
        <v>15</v>
      </c>
      <c r="Q104" s="2"/>
      <c r="R104" s="2"/>
      <c r="S104" s="22">
        <f t="shared" si="12"/>
        <v>13.5</v>
      </c>
      <c r="T104" s="25">
        <f t="shared" si="13"/>
        <v>2.1213203435596424</v>
      </c>
    </row>
    <row r="105" spans="1:20" x14ac:dyDescent="0.2">
      <c r="A105" s="7" t="s">
        <v>0</v>
      </c>
      <c r="B105" s="1">
        <v>5</v>
      </c>
      <c r="C105" s="1">
        <v>12.5</v>
      </c>
      <c r="D105" s="1">
        <v>10</v>
      </c>
      <c r="E105" s="7">
        <v>16.48</v>
      </c>
      <c r="F105" s="1">
        <v>40</v>
      </c>
      <c r="G105" s="1">
        <v>6</v>
      </c>
      <c r="H105" s="7">
        <v>1</v>
      </c>
      <c r="I105" s="5">
        <f t="shared" si="7"/>
        <v>188.11856809695681</v>
      </c>
      <c r="J105" s="5">
        <f t="shared" si="8"/>
        <v>210.32295304735933</v>
      </c>
      <c r="K105" s="5">
        <f t="shared" si="9"/>
        <v>4.70296420242392</v>
      </c>
      <c r="L105" s="30">
        <f t="shared" si="10"/>
        <v>1.9894367886486917</v>
      </c>
      <c r="M105" s="8">
        <f t="shared" si="11"/>
        <v>0.42064590609471864</v>
      </c>
      <c r="N105" s="3">
        <v>8</v>
      </c>
      <c r="O105" s="2">
        <v>12</v>
      </c>
      <c r="P105" s="2">
        <v>16</v>
      </c>
      <c r="Q105" s="2"/>
      <c r="R105" s="2"/>
      <c r="S105" s="22">
        <f t="shared" si="12"/>
        <v>12</v>
      </c>
      <c r="T105" s="25">
        <f t="shared" si="13"/>
        <v>4</v>
      </c>
    </row>
    <row r="106" spans="1:20" x14ac:dyDescent="0.2">
      <c r="A106" s="7" t="s">
        <v>0</v>
      </c>
      <c r="B106" s="1">
        <v>5</v>
      </c>
      <c r="C106" s="1">
        <v>12.5</v>
      </c>
      <c r="D106" s="1">
        <v>10</v>
      </c>
      <c r="E106" s="7">
        <v>16.48</v>
      </c>
      <c r="F106" s="1">
        <v>40</v>
      </c>
      <c r="G106" s="1">
        <v>7</v>
      </c>
      <c r="H106" s="7">
        <v>1</v>
      </c>
      <c r="I106" s="5">
        <f t="shared" si="7"/>
        <v>219.47166277978295</v>
      </c>
      <c r="J106" s="5">
        <f t="shared" si="8"/>
        <v>245.37677855525257</v>
      </c>
      <c r="K106" s="5">
        <f t="shared" si="9"/>
        <v>5.4867915694945735</v>
      </c>
      <c r="L106" s="30">
        <f t="shared" si="10"/>
        <v>1.9894367886486917</v>
      </c>
      <c r="M106" s="8">
        <f t="shared" si="11"/>
        <v>0.49075355711050517</v>
      </c>
      <c r="N106" s="2">
        <v>8</v>
      </c>
      <c r="O106" s="2">
        <v>14</v>
      </c>
      <c r="P106" s="2">
        <v>14</v>
      </c>
      <c r="Q106" s="2"/>
      <c r="R106" s="2"/>
      <c r="S106" s="22">
        <f t="shared" si="12"/>
        <v>12</v>
      </c>
      <c r="T106" s="25">
        <f t="shared" si="13"/>
        <v>3.4641016151377544</v>
      </c>
    </row>
    <row r="107" spans="1:20" x14ac:dyDescent="0.2">
      <c r="A107" s="7" t="s">
        <v>0</v>
      </c>
      <c r="B107" s="1">
        <v>5</v>
      </c>
      <c r="C107" s="1">
        <v>12.5</v>
      </c>
      <c r="D107" s="1">
        <v>10</v>
      </c>
      <c r="E107" s="7">
        <v>16.48</v>
      </c>
      <c r="F107" s="1">
        <v>40</v>
      </c>
      <c r="G107" s="1">
        <v>8</v>
      </c>
      <c r="H107" s="7">
        <v>1</v>
      </c>
      <c r="I107" s="5">
        <f t="shared" si="7"/>
        <v>250.82475746260911</v>
      </c>
      <c r="J107" s="5">
        <f t="shared" si="8"/>
        <v>280.43060406314584</v>
      </c>
      <c r="K107" s="5">
        <f t="shared" si="9"/>
        <v>6.2706189365652278</v>
      </c>
      <c r="L107" s="30">
        <f t="shared" si="10"/>
        <v>1.9894367886486917</v>
      </c>
      <c r="M107" s="8">
        <f t="shared" si="11"/>
        <v>0.5608612081262917</v>
      </c>
      <c r="N107" s="2">
        <v>8</v>
      </c>
      <c r="O107" s="2">
        <v>12</v>
      </c>
      <c r="P107" s="2">
        <v>14</v>
      </c>
      <c r="Q107" s="2"/>
      <c r="R107" s="2"/>
      <c r="S107" s="22">
        <f t="shared" si="12"/>
        <v>11.333333333333334</v>
      </c>
      <c r="T107" s="25">
        <f t="shared" si="13"/>
        <v>3.0550504633038948</v>
      </c>
    </row>
    <row r="108" spans="1:20" x14ac:dyDescent="0.2">
      <c r="A108" s="7" t="s">
        <v>0</v>
      </c>
      <c r="B108" s="1">
        <v>5</v>
      </c>
      <c r="C108" s="1">
        <v>12.5</v>
      </c>
      <c r="D108" s="1">
        <v>10</v>
      </c>
      <c r="E108" s="7">
        <v>16.48</v>
      </c>
      <c r="F108" s="1">
        <v>40</v>
      </c>
      <c r="G108" s="1">
        <v>1</v>
      </c>
      <c r="H108" s="7">
        <v>2</v>
      </c>
      <c r="I108" s="5">
        <f t="shared" si="7"/>
        <v>62.706189365652278</v>
      </c>
      <c r="J108" s="5">
        <f t="shared" si="8"/>
        <v>70.107651015786459</v>
      </c>
      <c r="K108" s="5">
        <f t="shared" si="9"/>
        <v>1.567654734141307</v>
      </c>
      <c r="L108" s="30">
        <f t="shared" si="10"/>
        <v>0.99471839432434583</v>
      </c>
      <c r="M108" s="8">
        <f t="shared" si="11"/>
        <v>0.28043060406314585</v>
      </c>
      <c r="N108" s="2">
        <v>23</v>
      </c>
      <c r="O108" s="2">
        <v>23</v>
      </c>
      <c r="P108" s="2">
        <v>20</v>
      </c>
      <c r="S108" s="22">
        <f t="shared" si="12"/>
        <v>22</v>
      </c>
      <c r="T108" s="25">
        <f t="shared" si="13"/>
        <v>1.7320508075688772</v>
      </c>
    </row>
    <row r="109" spans="1:20" x14ac:dyDescent="0.2">
      <c r="A109" s="7" t="s">
        <v>0</v>
      </c>
      <c r="B109" s="1">
        <v>5</v>
      </c>
      <c r="C109" s="1">
        <v>12.5</v>
      </c>
      <c r="D109" s="1">
        <v>10</v>
      </c>
      <c r="E109" s="7">
        <v>16.48</v>
      </c>
      <c r="F109" s="1">
        <v>40</v>
      </c>
      <c r="G109" s="1">
        <v>2</v>
      </c>
      <c r="H109" s="7">
        <v>2</v>
      </c>
      <c r="I109" s="5">
        <f t="shared" si="7"/>
        <v>125.41237873130456</v>
      </c>
      <c r="J109" s="5">
        <f t="shared" si="8"/>
        <v>140.21530203157292</v>
      </c>
      <c r="K109" s="5">
        <f t="shared" si="9"/>
        <v>3.1353094682826139</v>
      </c>
      <c r="L109" s="30">
        <f t="shared" si="10"/>
        <v>0.99471839432434583</v>
      </c>
      <c r="M109" s="8">
        <f t="shared" si="11"/>
        <v>0.5608612081262917</v>
      </c>
      <c r="N109" s="2">
        <v>32</v>
      </c>
      <c r="O109" s="2">
        <v>45</v>
      </c>
      <c r="P109" s="2">
        <v>28</v>
      </c>
      <c r="S109" s="22">
        <f t="shared" si="12"/>
        <v>35</v>
      </c>
      <c r="T109" s="25">
        <f t="shared" si="13"/>
        <v>8.8881944173155887</v>
      </c>
    </row>
    <row r="110" spans="1:20" x14ac:dyDescent="0.2">
      <c r="A110" s="7" t="s">
        <v>0</v>
      </c>
      <c r="B110" s="1">
        <v>5</v>
      </c>
      <c r="C110" s="1">
        <v>12.5</v>
      </c>
      <c r="D110" s="1">
        <v>10</v>
      </c>
      <c r="E110" s="7">
        <v>16.48</v>
      </c>
      <c r="F110" s="1">
        <v>40</v>
      </c>
      <c r="G110" s="1">
        <v>3</v>
      </c>
      <c r="H110" s="7">
        <v>2</v>
      </c>
      <c r="I110" s="5">
        <f t="shared" si="7"/>
        <v>188.11856809695681</v>
      </c>
      <c r="J110" s="5">
        <f t="shared" si="8"/>
        <v>210.32295304735933</v>
      </c>
      <c r="K110" s="5">
        <f t="shared" si="9"/>
        <v>4.70296420242392</v>
      </c>
      <c r="L110" s="30">
        <f t="shared" si="10"/>
        <v>0.99471839432434583</v>
      </c>
      <c r="M110" s="8">
        <f t="shared" si="11"/>
        <v>0.84129181218943727</v>
      </c>
      <c r="N110" s="2">
        <v>73</v>
      </c>
      <c r="O110" s="2">
        <v>90</v>
      </c>
      <c r="P110" s="2">
        <v>52</v>
      </c>
      <c r="S110" s="22">
        <f t="shared" si="12"/>
        <v>71.666666666666671</v>
      </c>
      <c r="T110" s="25">
        <f t="shared" si="13"/>
        <v>19.035055380358973</v>
      </c>
    </row>
    <row r="111" spans="1:20" x14ac:dyDescent="0.2">
      <c r="A111" s="7" t="s">
        <v>0</v>
      </c>
      <c r="B111" s="1">
        <v>5</v>
      </c>
      <c r="C111" s="1">
        <v>12.5</v>
      </c>
      <c r="D111" s="1">
        <v>10</v>
      </c>
      <c r="E111" s="7">
        <v>16.48</v>
      </c>
      <c r="F111" s="1">
        <v>40</v>
      </c>
      <c r="G111" s="1">
        <v>4</v>
      </c>
      <c r="H111" s="7">
        <v>2</v>
      </c>
      <c r="I111" s="5">
        <f t="shared" si="7"/>
        <v>250.82475746260911</v>
      </c>
      <c r="J111" s="5">
        <f t="shared" si="8"/>
        <v>280.43060406314584</v>
      </c>
      <c r="K111" s="5">
        <f t="shared" si="9"/>
        <v>6.2706189365652278</v>
      </c>
      <c r="L111" s="30">
        <f t="shared" si="10"/>
        <v>0.99471839432434583</v>
      </c>
      <c r="M111" s="8">
        <f t="shared" si="11"/>
        <v>1.1217224162525834</v>
      </c>
      <c r="N111" s="2">
        <v>45</v>
      </c>
      <c r="O111" s="2">
        <v>90</v>
      </c>
      <c r="P111" s="2">
        <v>70</v>
      </c>
      <c r="S111" s="22">
        <f t="shared" si="12"/>
        <v>68.333333333333329</v>
      </c>
      <c r="T111" s="25">
        <f t="shared" si="13"/>
        <v>22.546248764114466</v>
      </c>
    </row>
    <row r="112" spans="1:20" x14ac:dyDescent="0.2">
      <c r="A112" s="7" t="s">
        <v>0</v>
      </c>
      <c r="B112" s="1">
        <v>5</v>
      </c>
      <c r="C112" s="1">
        <v>12.5</v>
      </c>
      <c r="D112" s="1">
        <v>10</v>
      </c>
      <c r="E112" s="7">
        <v>16.48</v>
      </c>
      <c r="F112" s="1">
        <v>40</v>
      </c>
      <c r="G112" s="1">
        <v>5</v>
      </c>
      <c r="H112" s="7">
        <v>2</v>
      </c>
      <c r="I112" s="5">
        <f t="shared" si="7"/>
        <v>313.53094682826139</v>
      </c>
      <c r="J112" s="5">
        <f t="shared" si="8"/>
        <v>350.53825507893231</v>
      </c>
      <c r="K112" s="5">
        <f t="shared" si="9"/>
        <v>7.8382736707065348</v>
      </c>
      <c r="L112" s="30">
        <f t="shared" si="10"/>
        <v>0.99471839432434583</v>
      </c>
      <c r="M112" s="8">
        <f t="shared" si="11"/>
        <v>1.4021530203157293</v>
      </c>
      <c r="N112" s="2">
        <v>93</v>
      </c>
      <c r="O112" s="2">
        <v>78</v>
      </c>
      <c r="P112" s="2">
        <v>95</v>
      </c>
      <c r="S112" s="22">
        <f t="shared" si="12"/>
        <v>88.666666666666671</v>
      </c>
      <c r="T112" s="25">
        <f t="shared" si="13"/>
        <v>9.2915732431775702</v>
      </c>
    </row>
    <row r="113" spans="1:20" x14ac:dyDescent="0.2">
      <c r="A113" s="7" t="s">
        <v>0</v>
      </c>
      <c r="B113" s="1">
        <v>5</v>
      </c>
      <c r="C113" s="1">
        <v>12.5</v>
      </c>
      <c r="D113" s="1">
        <v>10</v>
      </c>
      <c r="E113" s="7">
        <v>16.48</v>
      </c>
      <c r="F113" s="1">
        <v>40</v>
      </c>
      <c r="G113" s="1">
        <v>6</v>
      </c>
      <c r="H113" s="7">
        <v>2</v>
      </c>
      <c r="I113" s="5">
        <f t="shared" si="7"/>
        <v>376.23713619391361</v>
      </c>
      <c r="J113" s="5">
        <f t="shared" si="8"/>
        <v>420.64590609471867</v>
      </c>
      <c r="K113" s="5">
        <f t="shared" si="9"/>
        <v>9.40592840484784</v>
      </c>
      <c r="L113" s="30">
        <f t="shared" si="10"/>
        <v>0.99471839432434583</v>
      </c>
      <c r="M113" s="8">
        <f t="shared" si="11"/>
        <v>1.6825836243788745</v>
      </c>
      <c r="N113" s="2">
        <v>76</v>
      </c>
      <c r="O113" s="2">
        <v>78</v>
      </c>
      <c r="P113" s="2">
        <v>98</v>
      </c>
      <c r="S113" s="22">
        <f t="shared" si="12"/>
        <v>84</v>
      </c>
      <c r="T113" s="25">
        <f t="shared" si="13"/>
        <v>12.165525060596439</v>
      </c>
    </row>
    <row r="114" spans="1:20" x14ac:dyDescent="0.2">
      <c r="A114" s="7" t="s">
        <v>0</v>
      </c>
      <c r="B114" s="1">
        <v>5</v>
      </c>
      <c r="C114" s="1">
        <v>12.5</v>
      </c>
      <c r="D114" s="1">
        <v>10</v>
      </c>
      <c r="E114" s="7">
        <v>16.48</v>
      </c>
      <c r="F114" s="1">
        <v>40</v>
      </c>
      <c r="G114" s="1">
        <v>7</v>
      </c>
      <c r="H114" s="7">
        <v>2</v>
      </c>
      <c r="I114" s="5">
        <f t="shared" si="7"/>
        <v>438.94332555956589</v>
      </c>
      <c r="J114" s="5">
        <f t="shared" si="8"/>
        <v>490.75355711050514</v>
      </c>
      <c r="K114" s="5">
        <f t="shared" si="9"/>
        <v>10.973583138989147</v>
      </c>
      <c r="L114" s="30">
        <f t="shared" si="10"/>
        <v>0.99471839432434583</v>
      </c>
      <c r="M114" s="8">
        <f t="shared" si="11"/>
        <v>1.9630142284420207</v>
      </c>
      <c r="N114" s="2">
        <v>75</v>
      </c>
      <c r="O114" s="2">
        <v>115</v>
      </c>
      <c r="P114" s="2">
        <v>94</v>
      </c>
      <c r="S114" s="22">
        <f t="shared" si="12"/>
        <v>94.666666666666671</v>
      </c>
      <c r="T114" s="25">
        <f t="shared" si="13"/>
        <v>20.00833159794524</v>
      </c>
    </row>
    <row r="115" spans="1:20" x14ac:dyDescent="0.2">
      <c r="A115" s="7" t="s">
        <v>0</v>
      </c>
      <c r="B115" s="1">
        <v>5</v>
      </c>
      <c r="C115" s="1">
        <v>12.5</v>
      </c>
      <c r="D115" s="1">
        <v>10</v>
      </c>
      <c r="E115" s="7">
        <v>16.48</v>
      </c>
      <c r="F115" s="1">
        <v>40</v>
      </c>
      <c r="G115" s="1">
        <v>1</v>
      </c>
      <c r="H115" s="7">
        <v>3</v>
      </c>
      <c r="I115" s="5">
        <f t="shared" si="7"/>
        <v>94.059284048478403</v>
      </c>
      <c r="J115" s="5">
        <f t="shared" si="8"/>
        <v>105.16147652367967</v>
      </c>
      <c r="K115" s="5">
        <f t="shared" si="9"/>
        <v>2.35148210121196</v>
      </c>
      <c r="L115" s="30">
        <f t="shared" si="10"/>
        <v>0.66314559621623059</v>
      </c>
      <c r="M115" s="8">
        <f t="shared" si="11"/>
        <v>0.6309688591420779</v>
      </c>
      <c r="N115" s="2">
        <v>19</v>
      </c>
      <c r="O115" s="2">
        <v>17</v>
      </c>
      <c r="P115" s="2">
        <v>20</v>
      </c>
      <c r="S115" s="22">
        <f t="shared" si="12"/>
        <v>18.666666666666668</v>
      </c>
      <c r="T115" s="25">
        <f t="shared" si="13"/>
        <v>1.5275252316519465</v>
      </c>
    </row>
    <row r="116" spans="1:20" x14ac:dyDescent="0.2">
      <c r="A116" s="7" t="s">
        <v>0</v>
      </c>
      <c r="B116" s="1">
        <v>5</v>
      </c>
      <c r="C116" s="1">
        <v>12.5</v>
      </c>
      <c r="D116" s="1">
        <v>10</v>
      </c>
      <c r="E116" s="7">
        <v>16.48</v>
      </c>
      <c r="F116" s="1">
        <v>40</v>
      </c>
      <c r="G116" s="1">
        <v>2</v>
      </c>
      <c r="H116" s="7">
        <v>3</v>
      </c>
      <c r="I116" s="5">
        <f t="shared" si="7"/>
        <v>188.11856809695681</v>
      </c>
      <c r="J116" s="5">
        <f t="shared" si="8"/>
        <v>210.32295304735933</v>
      </c>
      <c r="K116" s="5">
        <f t="shared" si="9"/>
        <v>4.70296420242392</v>
      </c>
      <c r="L116" s="30">
        <f t="shared" si="10"/>
        <v>0.66314559621623059</v>
      </c>
      <c r="M116" s="8">
        <f t="shared" si="11"/>
        <v>1.2619377182841558</v>
      </c>
      <c r="N116" s="2">
        <v>48</v>
      </c>
      <c r="O116" s="2">
        <v>47</v>
      </c>
      <c r="P116" s="2">
        <v>50</v>
      </c>
      <c r="S116" s="22">
        <f t="shared" si="12"/>
        <v>48.333333333333336</v>
      </c>
      <c r="T116" s="25">
        <f t="shared" si="13"/>
        <v>1.5275252316519465</v>
      </c>
    </row>
    <row r="117" spans="1:20" x14ac:dyDescent="0.2">
      <c r="A117" s="7" t="s">
        <v>0</v>
      </c>
      <c r="B117" s="1">
        <v>5</v>
      </c>
      <c r="C117" s="1">
        <v>12.5</v>
      </c>
      <c r="D117" s="1">
        <v>10</v>
      </c>
      <c r="E117" s="7">
        <v>16.48</v>
      </c>
      <c r="F117" s="1">
        <v>40</v>
      </c>
      <c r="G117" s="1">
        <v>3</v>
      </c>
      <c r="H117" s="7">
        <v>3</v>
      </c>
      <c r="I117" s="5">
        <f t="shared" si="7"/>
        <v>282.17785214543522</v>
      </c>
      <c r="J117" s="5">
        <f t="shared" si="8"/>
        <v>315.48442957103902</v>
      </c>
      <c r="K117" s="5">
        <f t="shared" si="9"/>
        <v>7.0544463036358804</v>
      </c>
      <c r="L117" s="30">
        <f t="shared" si="10"/>
        <v>0.66314559621623059</v>
      </c>
      <c r="M117" s="8">
        <f t="shared" si="11"/>
        <v>1.8929065774262341</v>
      </c>
      <c r="N117" s="2">
        <v>48</v>
      </c>
      <c r="O117" s="2">
        <v>65</v>
      </c>
      <c r="P117" s="2">
        <v>60</v>
      </c>
      <c r="S117" s="22">
        <f t="shared" si="12"/>
        <v>57.666666666666664</v>
      </c>
      <c r="T117" s="25">
        <f t="shared" si="13"/>
        <v>8.7368949480540863</v>
      </c>
    </row>
    <row r="118" spans="1:20" x14ac:dyDescent="0.2">
      <c r="A118" s="7" t="s">
        <v>0</v>
      </c>
      <c r="B118" s="1">
        <v>5</v>
      </c>
      <c r="C118" s="1">
        <v>12.5</v>
      </c>
      <c r="D118" s="1">
        <v>10</v>
      </c>
      <c r="E118" s="7">
        <v>16.48</v>
      </c>
      <c r="F118" s="1">
        <v>40</v>
      </c>
      <c r="G118" s="1">
        <v>4</v>
      </c>
      <c r="H118" s="7">
        <v>3</v>
      </c>
      <c r="I118" s="5">
        <f t="shared" si="7"/>
        <v>376.23713619391361</v>
      </c>
      <c r="J118" s="5">
        <f t="shared" si="8"/>
        <v>420.64590609471867</v>
      </c>
      <c r="K118" s="5">
        <f t="shared" si="9"/>
        <v>9.40592840484784</v>
      </c>
      <c r="L118" s="30">
        <f t="shared" si="10"/>
        <v>0.66314559621623059</v>
      </c>
      <c r="M118" s="8">
        <f t="shared" si="11"/>
        <v>2.5238754365683116</v>
      </c>
      <c r="N118" s="2">
        <v>63</v>
      </c>
      <c r="O118" s="2">
        <v>65</v>
      </c>
      <c r="P118" s="2">
        <v>63</v>
      </c>
      <c r="S118" s="22">
        <f t="shared" si="12"/>
        <v>63.666666666666664</v>
      </c>
      <c r="T118" s="25">
        <f t="shared" si="13"/>
        <v>1.1547005383792517</v>
      </c>
    </row>
    <row r="119" spans="1:20" x14ac:dyDescent="0.2">
      <c r="A119" s="7" t="s">
        <v>0</v>
      </c>
      <c r="B119" s="1">
        <v>5</v>
      </c>
      <c r="C119" s="1">
        <v>12.5</v>
      </c>
      <c r="D119" s="1">
        <v>10</v>
      </c>
      <c r="E119" s="7">
        <v>16.48</v>
      </c>
      <c r="F119" s="1">
        <v>40</v>
      </c>
      <c r="G119" s="1">
        <v>5</v>
      </c>
      <c r="H119" s="7">
        <v>3</v>
      </c>
      <c r="I119" s="5">
        <f t="shared" si="7"/>
        <v>470.29642024239212</v>
      </c>
      <c r="J119" s="5">
        <f t="shared" si="8"/>
        <v>525.80738261839849</v>
      </c>
      <c r="K119" s="5">
        <f t="shared" si="9"/>
        <v>11.757410506059802</v>
      </c>
      <c r="L119" s="30">
        <f t="shared" si="10"/>
        <v>0.66314559621623059</v>
      </c>
      <c r="M119" s="8">
        <f t="shared" si="11"/>
        <v>3.154844295710391</v>
      </c>
      <c r="N119" s="2">
        <v>50</v>
      </c>
      <c r="O119" s="2">
        <v>53</v>
      </c>
      <c r="P119" s="2">
        <v>59</v>
      </c>
      <c r="S119" s="22">
        <f t="shared" si="12"/>
        <v>54</v>
      </c>
      <c r="T119" s="25">
        <f t="shared" si="13"/>
        <v>4.5825756949558398</v>
      </c>
    </row>
    <row r="120" spans="1:20" x14ac:dyDescent="0.2">
      <c r="A120" s="7" t="s">
        <v>0</v>
      </c>
      <c r="B120" s="1">
        <v>5</v>
      </c>
      <c r="C120" s="1">
        <v>12.5</v>
      </c>
      <c r="D120" s="1">
        <v>10</v>
      </c>
      <c r="E120" s="7">
        <v>16.48</v>
      </c>
      <c r="F120" s="1">
        <v>40</v>
      </c>
      <c r="G120" s="1">
        <v>6</v>
      </c>
      <c r="H120" s="7">
        <v>3</v>
      </c>
      <c r="I120" s="5">
        <f t="shared" si="7"/>
        <v>564.35570429087045</v>
      </c>
      <c r="J120" s="5">
        <f t="shared" si="8"/>
        <v>630.96885914207803</v>
      </c>
      <c r="K120" s="5">
        <f t="shared" si="9"/>
        <v>14.108892607271761</v>
      </c>
      <c r="L120" s="30">
        <f t="shared" si="10"/>
        <v>0.66314559621623059</v>
      </c>
      <c r="M120" s="8">
        <f t="shared" si="11"/>
        <v>3.7858131548524683</v>
      </c>
      <c r="N120" s="2">
        <v>50</v>
      </c>
      <c r="O120" s="2">
        <v>66</v>
      </c>
      <c r="P120" s="2">
        <v>48</v>
      </c>
      <c r="S120" s="22">
        <f t="shared" si="12"/>
        <v>54.666666666666664</v>
      </c>
      <c r="T120" s="25">
        <f t="shared" si="13"/>
        <v>9.8657657246324799</v>
      </c>
    </row>
    <row r="121" spans="1:20" x14ac:dyDescent="0.2">
      <c r="A121" s="7" t="s">
        <v>0</v>
      </c>
      <c r="B121" s="1">
        <v>5</v>
      </c>
      <c r="C121" s="1">
        <v>12.5</v>
      </c>
      <c r="D121" s="1">
        <v>10</v>
      </c>
      <c r="E121" s="7">
        <v>16.48</v>
      </c>
      <c r="F121" s="1">
        <v>40</v>
      </c>
      <c r="G121" s="1">
        <v>1</v>
      </c>
      <c r="H121" s="7">
        <v>4</v>
      </c>
      <c r="I121" s="5">
        <f t="shared" si="7"/>
        <v>125.41237873130456</v>
      </c>
      <c r="J121" s="5">
        <f t="shared" si="8"/>
        <v>140.21530203157292</v>
      </c>
      <c r="K121" s="5">
        <f t="shared" si="9"/>
        <v>3.1353094682826139</v>
      </c>
      <c r="L121" s="30">
        <f t="shared" si="10"/>
        <v>0.49735919716217292</v>
      </c>
      <c r="M121" s="8">
        <f t="shared" si="11"/>
        <v>1.1217224162525834</v>
      </c>
      <c r="N121" s="2">
        <v>27</v>
      </c>
      <c r="O121" s="2">
        <v>28</v>
      </c>
      <c r="P121" s="2">
        <v>23</v>
      </c>
      <c r="S121" s="22">
        <f t="shared" si="12"/>
        <v>26</v>
      </c>
      <c r="T121" s="25">
        <f t="shared" si="13"/>
        <v>2.6457513110645907</v>
      </c>
    </row>
    <row r="122" spans="1:20" x14ac:dyDescent="0.2">
      <c r="A122" s="7" t="s">
        <v>0</v>
      </c>
      <c r="B122" s="1">
        <v>5</v>
      </c>
      <c r="C122" s="1">
        <v>12.5</v>
      </c>
      <c r="D122" s="1">
        <v>10</v>
      </c>
      <c r="E122" s="7">
        <v>16.48</v>
      </c>
      <c r="F122" s="1">
        <v>40</v>
      </c>
      <c r="G122" s="1">
        <v>2</v>
      </c>
      <c r="H122" s="7">
        <v>4</v>
      </c>
      <c r="I122" s="5">
        <f t="shared" si="7"/>
        <v>250.82475746260911</v>
      </c>
      <c r="J122" s="5">
        <f t="shared" si="8"/>
        <v>280.43060406314584</v>
      </c>
      <c r="K122" s="5">
        <f t="shared" si="9"/>
        <v>6.2706189365652278</v>
      </c>
      <c r="L122" s="30">
        <f t="shared" si="10"/>
        <v>0.49735919716217292</v>
      </c>
      <c r="M122" s="8">
        <f t="shared" si="11"/>
        <v>2.2434448325051668</v>
      </c>
      <c r="N122" s="2">
        <v>31</v>
      </c>
      <c r="O122" s="2">
        <v>58</v>
      </c>
      <c r="P122" s="2">
        <v>40</v>
      </c>
      <c r="S122" s="22">
        <f t="shared" si="12"/>
        <v>43</v>
      </c>
      <c r="T122" s="25">
        <f t="shared" si="13"/>
        <v>13.74772708486752</v>
      </c>
    </row>
    <row r="123" spans="1:20" x14ac:dyDescent="0.2">
      <c r="A123" s="7" t="s">
        <v>0</v>
      </c>
      <c r="B123" s="1">
        <v>5</v>
      </c>
      <c r="C123" s="1">
        <v>12.5</v>
      </c>
      <c r="D123" s="1">
        <v>10</v>
      </c>
      <c r="E123" s="7">
        <v>16.48</v>
      </c>
      <c r="F123" s="1">
        <v>40</v>
      </c>
      <c r="G123" s="1">
        <v>3</v>
      </c>
      <c r="H123" s="7">
        <v>4</v>
      </c>
      <c r="I123" s="5">
        <f t="shared" si="7"/>
        <v>376.23713619391361</v>
      </c>
      <c r="J123" s="5">
        <f t="shared" si="8"/>
        <v>420.64590609471867</v>
      </c>
      <c r="K123" s="5">
        <f t="shared" si="9"/>
        <v>9.40592840484784</v>
      </c>
      <c r="L123" s="30">
        <f t="shared" si="10"/>
        <v>0.49735919716217292</v>
      </c>
      <c r="M123" s="8">
        <f t="shared" si="11"/>
        <v>3.3651672487577491</v>
      </c>
      <c r="N123" s="2">
        <v>40</v>
      </c>
      <c r="O123" s="2">
        <v>54</v>
      </c>
      <c r="P123" s="2">
        <v>58</v>
      </c>
      <c r="S123" s="22">
        <f t="shared" si="12"/>
        <v>50.666666666666664</v>
      </c>
      <c r="T123" s="25">
        <f t="shared" si="13"/>
        <v>9.4516312525052246</v>
      </c>
    </row>
    <row r="124" spans="1:20" x14ac:dyDescent="0.2">
      <c r="A124" s="7" t="s">
        <v>0</v>
      </c>
      <c r="B124" s="1">
        <v>5</v>
      </c>
      <c r="C124" s="1">
        <v>12.5</v>
      </c>
      <c r="D124" s="1">
        <v>10</v>
      </c>
      <c r="E124" s="7">
        <v>16.48</v>
      </c>
      <c r="F124" s="1">
        <v>40</v>
      </c>
      <c r="G124" s="1">
        <v>4</v>
      </c>
      <c r="H124" s="7">
        <v>4</v>
      </c>
      <c r="I124" s="5">
        <f t="shared" si="7"/>
        <v>501.64951492521823</v>
      </c>
      <c r="J124" s="5">
        <f t="shared" si="8"/>
        <v>560.86120812629167</v>
      </c>
      <c r="K124" s="5">
        <f t="shared" si="9"/>
        <v>12.541237873130456</v>
      </c>
      <c r="L124" s="30">
        <f t="shared" si="10"/>
        <v>0.49735919716217292</v>
      </c>
      <c r="M124" s="8">
        <f t="shared" si="11"/>
        <v>4.4868896650103336</v>
      </c>
      <c r="N124" s="2">
        <v>34</v>
      </c>
      <c r="O124" s="2">
        <v>32</v>
      </c>
      <c r="P124" s="2">
        <v>45</v>
      </c>
      <c r="S124" s="22">
        <f t="shared" si="12"/>
        <v>37</v>
      </c>
      <c r="T124" s="25">
        <f t="shared" si="13"/>
        <v>7</v>
      </c>
    </row>
    <row r="125" spans="1:20" x14ac:dyDescent="0.2">
      <c r="A125" s="7" t="s">
        <v>0</v>
      </c>
      <c r="B125" s="1">
        <v>5</v>
      </c>
      <c r="C125" s="1">
        <v>12.5</v>
      </c>
      <c r="D125" s="1">
        <v>10</v>
      </c>
      <c r="E125" s="7">
        <v>16.48</v>
      </c>
      <c r="F125" s="1">
        <v>40</v>
      </c>
      <c r="G125" s="1">
        <v>5</v>
      </c>
      <c r="H125" s="7">
        <v>4</v>
      </c>
      <c r="I125" s="5">
        <f t="shared" si="7"/>
        <v>627.06189365652278</v>
      </c>
      <c r="J125" s="5">
        <f t="shared" si="8"/>
        <v>701.07651015786462</v>
      </c>
      <c r="K125" s="5">
        <f t="shared" si="9"/>
        <v>15.67654734141307</v>
      </c>
      <c r="L125" s="30">
        <f t="shared" si="10"/>
        <v>0.49735919716217292</v>
      </c>
      <c r="M125" s="8">
        <f t="shared" si="11"/>
        <v>5.6086120812629172</v>
      </c>
      <c r="N125" s="2">
        <v>28</v>
      </c>
      <c r="O125" s="2">
        <v>32</v>
      </c>
      <c r="P125" s="2">
        <v>37</v>
      </c>
      <c r="S125" s="22">
        <f t="shared" si="12"/>
        <v>32.333333333333336</v>
      </c>
      <c r="T125" s="25">
        <f t="shared" si="13"/>
        <v>4.5092497528228863</v>
      </c>
    </row>
    <row r="126" spans="1:20" x14ac:dyDescent="0.2">
      <c r="A126" s="7" t="s">
        <v>0</v>
      </c>
      <c r="B126" s="1">
        <v>5</v>
      </c>
      <c r="C126" s="1">
        <v>12.5</v>
      </c>
      <c r="D126" s="1">
        <v>10</v>
      </c>
      <c r="E126" s="7">
        <v>16.48</v>
      </c>
      <c r="F126" s="1">
        <v>40</v>
      </c>
      <c r="G126" s="1">
        <v>6</v>
      </c>
      <c r="H126" s="7">
        <v>4</v>
      </c>
      <c r="I126" s="5">
        <f t="shared" si="7"/>
        <v>752.47427238782723</v>
      </c>
      <c r="J126" s="5">
        <f t="shared" si="8"/>
        <v>841.29181218943734</v>
      </c>
      <c r="K126" s="5">
        <f t="shared" si="9"/>
        <v>18.81185680969568</v>
      </c>
      <c r="L126" s="30">
        <f t="shared" si="10"/>
        <v>0.49735919716217292</v>
      </c>
      <c r="M126" s="8">
        <f t="shared" si="11"/>
        <v>6.7303344975154982</v>
      </c>
      <c r="N126" s="2">
        <v>26</v>
      </c>
      <c r="O126" s="2">
        <v>32</v>
      </c>
      <c r="P126" s="2">
        <v>37</v>
      </c>
      <c r="S126" s="22">
        <f t="shared" si="12"/>
        <v>31.666666666666668</v>
      </c>
      <c r="T126" s="25">
        <f t="shared" si="13"/>
        <v>5.507570547286095</v>
      </c>
    </row>
    <row r="127" spans="1:20" x14ac:dyDescent="0.2">
      <c r="A127" s="7" t="s">
        <v>0</v>
      </c>
      <c r="B127" s="1">
        <v>5</v>
      </c>
      <c r="C127" s="1">
        <v>12.5</v>
      </c>
      <c r="D127" s="1">
        <v>10</v>
      </c>
      <c r="E127" s="7">
        <v>16.48</v>
      </c>
      <c r="F127" s="1">
        <v>40</v>
      </c>
      <c r="G127" s="1">
        <v>1</v>
      </c>
      <c r="H127" s="7">
        <v>8</v>
      </c>
      <c r="I127" s="5">
        <f t="shared" si="7"/>
        <v>250.82475746260911</v>
      </c>
      <c r="J127" s="5">
        <f t="shared" si="8"/>
        <v>280.43060406314584</v>
      </c>
      <c r="K127" s="5">
        <f t="shared" si="9"/>
        <v>6.2706189365652278</v>
      </c>
      <c r="L127" s="30">
        <f t="shared" si="10"/>
        <v>0.24867959858108646</v>
      </c>
      <c r="M127" s="8">
        <f t="shared" si="11"/>
        <v>4.4868896650103336</v>
      </c>
      <c r="N127" s="2">
        <v>34</v>
      </c>
      <c r="O127" s="2">
        <v>30</v>
      </c>
      <c r="P127" s="2">
        <v>28</v>
      </c>
      <c r="S127" s="22">
        <f t="shared" si="12"/>
        <v>30.666666666666668</v>
      </c>
      <c r="T127" s="25">
        <f t="shared" si="13"/>
        <v>3.0550504633038935</v>
      </c>
    </row>
    <row r="128" spans="1:20" x14ac:dyDescent="0.2">
      <c r="A128" s="7" t="s">
        <v>0</v>
      </c>
      <c r="B128" s="1">
        <v>5</v>
      </c>
      <c r="C128" s="1">
        <v>12.5</v>
      </c>
      <c r="D128" s="1">
        <v>10</v>
      </c>
      <c r="E128" s="7">
        <v>16.48</v>
      </c>
      <c r="F128" s="1">
        <v>40</v>
      </c>
      <c r="G128" s="1">
        <v>2</v>
      </c>
      <c r="H128" s="7">
        <v>8</v>
      </c>
      <c r="I128" s="5">
        <f t="shared" si="7"/>
        <v>501.64951492521823</v>
      </c>
      <c r="J128" s="5">
        <f t="shared" si="8"/>
        <v>560.86120812629167</v>
      </c>
      <c r="K128" s="5">
        <f t="shared" si="9"/>
        <v>12.541237873130456</v>
      </c>
      <c r="L128" s="30">
        <f t="shared" si="10"/>
        <v>0.24867959858108646</v>
      </c>
      <c r="M128" s="8">
        <f t="shared" si="11"/>
        <v>8.9737793300206672</v>
      </c>
      <c r="N128" s="2">
        <v>23</v>
      </c>
      <c r="O128" s="2">
        <v>23</v>
      </c>
      <c r="P128" s="2">
        <v>25</v>
      </c>
      <c r="S128" s="22">
        <f t="shared" si="12"/>
        <v>23.666666666666668</v>
      </c>
      <c r="T128" s="25">
        <f t="shared" si="13"/>
        <v>1.1547005383792515</v>
      </c>
    </row>
    <row r="129" spans="1:20" x14ac:dyDescent="0.2">
      <c r="A129" s="7" t="s">
        <v>0</v>
      </c>
      <c r="B129" s="1">
        <v>5</v>
      </c>
      <c r="C129" s="1">
        <v>12.5</v>
      </c>
      <c r="D129" s="1">
        <v>10</v>
      </c>
      <c r="E129" s="7">
        <v>16.48</v>
      </c>
      <c r="F129" s="1">
        <v>40</v>
      </c>
      <c r="G129" s="1">
        <v>3</v>
      </c>
      <c r="H129" s="7">
        <v>8</v>
      </c>
      <c r="I129" s="5">
        <f t="shared" si="7"/>
        <v>752.47427238782723</v>
      </c>
      <c r="J129" s="5">
        <f t="shared" si="8"/>
        <v>841.29181218943734</v>
      </c>
      <c r="K129" s="5">
        <f t="shared" si="9"/>
        <v>18.81185680969568</v>
      </c>
      <c r="L129" s="30">
        <f t="shared" si="10"/>
        <v>0.24867959858108646</v>
      </c>
      <c r="M129" s="8">
        <f t="shared" si="11"/>
        <v>13.460668995030996</v>
      </c>
      <c r="N129" s="2">
        <v>18</v>
      </c>
      <c r="O129" s="2">
        <v>17</v>
      </c>
      <c r="P129" s="2">
        <v>18</v>
      </c>
      <c r="S129" s="22">
        <f t="shared" si="12"/>
        <v>17.666666666666668</v>
      </c>
      <c r="T129" s="25">
        <f t="shared" si="13"/>
        <v>0.57735026918962584</v>
      </c>
    </row>
    <row r="130" spans="1:20" x14ac:dyDescent="0.2">
      <c r="A130" s="7" t="s">
        <v>0</v>
      </c>
      <c r="B130" s="1">
        <v>5</v>
      </c>
      <c r="C130" s="1">
        <v>12.5</v>
      </c>
      <c r="D130" s="1">
        <v>10</v>
      </c>
      <c r="E130" s="7">
        <v>16.48</v>
      </c>
      <c r="F130" s="1">
        <v>40</v>
      </c>
      <c r="G130" s="1">
        <v>4</v>
      </c>
      <c r="H130" s="7">
        <v>8</v>
      </c>
      <c r="I130" s="5">
        <f t="shared" si="7"/>
        <v>1003.2990298504365</v>
      </c>
      <c r="J130" s="5">
        <f t="shared" si="8"/>
        <v>1121.7224162525833</v>
      </c>
      <c r="K130" s="5">
        <f t="shared" si="9"/>
        <v>25.082475746260911</v>
      </c>
      <c r="L130" s="30">
        <f t="shared" si="10"/>
        <v>0.24867959858108646</v>
      </c>
      <c r="M130" s="8">
        <f t="shared" si="11"/>
        <v>17.947558660041334</v>
      </c>
      <c r="N130" s="2">
        <v>16</v>
      </c>
      <c r="O130" s="2">
        <v>15</v>
      </c>
      <c r="P130" s="2">
        <v>18</v>
      </c>
      <c r="S130" s="22">
        <f t="shared" si="12"/>
        <v>16.333333333333332</v>
      </c>
      <c r="T130" s="25">
        <f t="shared" si="13"/>
        <v>1.5275252316519465</v>
      </c>
    </row>
    <row r="131" spans="1:20" s="41" customFormat="1" x14ac:dyDescent="0.2">
      <c r="A131" s="34" t="s">
        <v>0</v>
      </c>
      <c r="B131" s="35">
        <v>5</v>
      </c>
      <c r="C131" s="35">
        <v>12.5</v>
      </c>
      <c r="D131" s="35">
        <v>10</v>
      </c>
      <c r="E131" s="34">
        <v>16.48</v>
      </c>
      <c r="F131" s="35">
        <v>50</v>
      </c>
      <c r="G131" s="35">
        <v>0</v>
      </c>
      <c r="H131" s="34">
        <v>0</v>
      </c>
      <c r="I131" s="36">
        <f t="shared" si="7"/>
        <v>0</v>
      </c>
      <c r="J131" s="36">
        <f t="shared" si="8"/>
        <v>0</v>
      </c>
      <c r="K131" s="36">
        <f t="shared" si="9"/>
        <v>0</v>
      </c>
      <c r="L131" s="37" t="e">
        <f t="shared" si="10"/>
        <v>#DIV/0!</v>
      </c>
      <c r="M131" s="38">
        <f t="shared" si="11"/>
        <v>0</v>
      </c>
      <c r="N131" s="35">
        <v>8</v>
      </c>
      <c r="O131" s="35">
        <v>7</v>
      </c>
      <c r="P131" s="35">
        <v>8</v>
      </c>
      <c r="Q131" s="35"/>
      <c r="R131" s="35"/>
      <c r="S131" s="39">
        <f t="shared" si="12"/>
        <v>7.666666666666667</v>
      </c>
      <c r="T131" s="40">
        <f t="shared" si="13"/>
        <v>0.57735026918962584</v>
      </c>
    </row>
    <row r="132" spans="1:20" x14ac:dyDescent="0.2">
      <c r="A132" s="7" t="s">
        <v>0</v>
      </c>
      <c r="B132" s="1">
        <v>5</v>
      </c>
      <c r="C132" s="1">
        <v>12.5</v>
      </c>
      <c r="D132" s="1">
        <v>10</v>
      </c>
      <c r="E132" s="7">
        <v>16.48</v>
      </c>
      <c r="F132" s="1">
        <v>50</v>
      </c>
      <c r="G132" s="1">
        <v>1</v>
      </c>
      <c r="H132" s="7">
        <v>1</v>
      </c>
      <c r="I132" s="5">
        <f t="shared" ref="I132:I162" si="14">(2*PI()*G132*(H132/1000)*998*(B132/1000))/0.001</f>
        <v>31.353094682826139</v>
      </c>
      <c r="J132" s="5">
        <f t="shared" ref="J132:J162" si="15">I132*SQRT(C132/(2*B132))</f>
        <v>35.053825507893229</v>
      </c>
      <c r="K132" s="5">
        <f t="shared" ref="K132:K195" si="16">I132/F132</f>
        <v>0.62706189365652276</v>
      </c>
      <c r="L132" s="30">
        <f t="shared" ref="L132:L195" si="17">(C132/(2*PI()*H132))</f>
        <v>1.9894367886486917</v>
      </c>
      <c r="M132" s="8">
        <f t="shared" ref="M132:M195" si="18">((J132*(H132/C132))/F132)</f>
        <v>5.6086120812629175E-2</v>
      </c>
      <c r="N132" s="2">
        <v>10</v>
      </c>
      <c r="O132" s="2">
        <v>10</v>
      </c>
      <c r="P132" s="2">
        <v>13</v>
      </c>
      <c r="S132" s="22">
        <f t="shared" ref="S132:S195" si="19">AVERAGE(N132:R132)</f>
        <v>11</v>
      </c>
      <c r="T132" s="25">
        <f t="shared" ref="T132:T195" si="20">STDEV(N132:R132)</f>
        <v>1.7320508075688772</v>
      </c>
    </row>
    <row r="133" spans="1:20" x14ac:dyDescent="0.2">
      <c r="A133" s="7" t="s">
        <v>0</v>
      </c>
      <c r="B133" s="1">
        <v>5</v>
      </c>
      <c r="C133" s="1">
        <v>12.5</v>
      </c>
      <c r="D133" s="1">
        <v>10</v>
      </c>
      <c r="E133" s="7">
        <v>16.48</v>
      </c>
      <c r="F133" s="1">
        <v>50</v>
      </c>
      <c r="G133" s="1">
        <v>2</v>
      </c>
      <c r="H133" s="7">
        <v>1</v>
      </c>
      <c r="I133" s="5">
        <f t="shared" si="14"/>
        <v>62.706189365652278</v>
      </c>
      <c r="J133" s="5">
        <f t="shared" si="15"/>
        <v>70.107651015786459</v>
      </c>
      <c r="K133" s="5">
        <f t="shared" si="16"/>
        <v>1.2541237873130455</v>
      </c>
      <c r="L133" s="30">
        <f t="shared" si="17"/>
        <v>1.9894367886486917</v>
      </c>
      <c r="M133" s="8">
        <f t="shared" si="18"/>
        <v>0.11217224162525835</v>
      </c>
      <c r="N133" s="2">
        <v>8</v>
      </c>
      <c r="O133" s="2">
        <v>19</v>
      </c>
      <c r="P133" s="2">
        <v>11</v>
      </c>
      <c r="S133" s="22">
        <f t="shared" si="19"/>
        <v>12.666666666666666</v>
      </c>
      <c r="T133" s="25">
        <f t="shared" si="20"/>
        <v>5.6862407030773277</v>
      </c>
    </row>
    <row r="134" spans="1:20" x14ac:dyDescent="0.2">
      <c r="A134" s="7" t="s">
        <v>0</v>
      </c>
      <c r="B134" s="1">
        <v>5</v>
      </c>
      <c r="C134" s="1">
        <v>12.5</v>
      </c>
      <c r="D134" s="1">
        <v>10</v>
      </c>
      <c r="E134" s="7">
        <v>16.48</v>
      </c>
      <c r="F134" s="1">
        <v>50</v>
      </c>
      <c r="G134" s="1">
        <v>3</v>
      </c>
      <c r="H134" s="7">
        <v>1</v>
      </c>
      <c r="I134" s="5">
        <f t="shared" si="14"/>
        <v>94.059284048478403</v>
      </c>
      <c r="J134" s="5">
        <f t="shared" si="15"/>
        <v>105.16147652367967</v>
      </c>
      <c r="K134" s="5">
        <f t="shared" si="16"/>
        <v>1.8811856809695682</v>
      </c>
      <c r="L134" s="30">
        <f t="shared" si="17"/>
        <v>1.9894367886486917</v>
      </c>
      <c r="M134" s="8">
        <f t="shared" si="18"/>
        <v>0.16825836243788747</v>
      </c>
      <c r="N134" s="2">
        <v>7</v>
      </c>
      <c r="O134" s="2">
        <v>24</v>
      </c>
      <c r="P134" s="2">
        <v>10</v>
      </c>
      <c r="S134" s="22">
        <f t="shared" si="19"/>
        <v>13.666666666666666</v>
      </c>
      <c r="T134" s="25">
        <f t="shared" si="20"/>
        <v>9.0737717258774655</v>
      </c>
    </row>
    <row r="135" spans="1:20" x14ac:dyDescent="0.2">
      <c r="A135" s="7" t="s">
        <v>0</v>
      </c>
      <c r="B135" s="1">
        <v>5</v>
      </c>
      <c r="C135" s="1">
        <v>12.5</v>
      </c>
      <c r="D135" s="1">
        <v>10</v>
      </c>
      <c r="E135" s="7">
        <v>16.48</v>
      </c>
      <c r="F135" s="1">
        <v>50</v>
      </c>
      <c r="G135" s="1">
        <v>4</v>
      </c>
      <c r="H135" s="7">
        <v>1</v>
      </c>
      <c r="I135" s="5">
        <f t="shared" si="14"/>
        <v>125.41237873130456</v>
      </c>
      <c r="J135" s="5">
        <f t="shared" si="15"/>
        <v>140.21530203157292</v>
      </c>
      <c r="K135" s="5">
        <f t="shared" si="16"/>
        <v>2.508247574626091</v>
      </c>
      <c r="L135" s="30">
        <f t="shared" si="17"/>
        <v>1.9894367886486917</v>
      </c>
      <c r="M135" s="8">
        <f t="shared" si="18"/>
        <v>0.2243444832505167</v>
      </c>
      <c r="N135" s="2">
        <v>8</v>
      </c>
      <c r="O135" s="2">
        <v>35</v>
      </c>
      <c r="P135" s="2">
        <v>10</v>
      </c>
      <c r="S135" s="22">
        <f t="shared" si="19"/>
        <v>17.666666666666668</v>
      </c>
      <c r="T135" s="25">
        <f t="shared" si="20"/>
        <v>15.044378795195676</v>
      </c>
    </row>
    <row r="136" spans="1:20" x14ac:dyDescent="0.2">
      <c r="A136" s="7" t="s">
        <v>0</v>
      </c>
      <c r="B136" s="1">
        <v>5</v>
      </c>
      <c r="C136" s="1">
        <v>12.5</v>
      </c>
      <c r="D136" s="1">
        <v>10</v>
      </c>
      <c r="E136" s="7">
        <v>16.48</v>
      </c>
      <c r="F136" s="1">
        <v>50</v>
      </c>
      <c r="G136" s="1">
        <v>5</v>
      </c>
      <c r="H136" s="7">
        <v>1</v>
      </c>
      <c r="I136" s="5">
        <f t="shared" si="14"/>
        <v>156.7654734141307</v>
      </c>
      <c r="J136" s="5">
        <f t="shared" si="15"/>
        <v>175.26912753946615</v>
      </c>
      <c r="K136" s="5">
        <f t="shared" si="16"/>
        <v>3.1353094682826139</v>
      </c>
      <c r="L136" s="30">
        <f t="shared" si="17"/>
        <v>1.9894367886486917</v>
      </c>
      <c r="M136" s="8">
        <f t="shared" si="18"/>
        <v>0.28043060406314585</v>
      </c>
      <c r="N136" s="2">
        <v>8</v>
      </c>
      <c r="O136" s="2">
        <v>21</v>
      </c>
      <c r="P136" s="2">
        <v>10</v>
      </c>
      <c r="S136" s="22">
        <f t="shared" si="19"/>
        <v>13</v>
      </c>
      <c r="T136" s="25">
        <f t="shared" si="20"/>
        <v>7</v>
      </c>
    </row>
    <row r="137" spans="1:20" x14ac:dyDescent="0.2">
      <c r="A137" s="7" t="s">
        <v>0</v>
      </c>
      <c r="B137" s="1">
        <v>5</v>
      </c>
      <c r="C137" s="1">
        <v>12.5</v>
      </c>
      <c r="D137" s="1">
        <v>10</v>
      </c>
      <c r="E137" s="7">
        <v>16.48</v>
      </c>
      <c r="F137" s="1">
        <v>50</v>
      </c>
      <c r="G137" s="1">
        <v>6</v>
      </c>
      <c r="H137" s="7">
        <v>1</v>
      </c>
      <c r="I137" s="5">
        <f t="shared" si="14"/>
        <v>188.11856809695681</v>
      </c>
      <c r="J137" s="5">
        <f t="shared" si="15"/>
        <v>210.32295304735933</v>
      </c>
      <c r="K137" s="5">
        <f t="shared" si="16"/>
        <v>3.7623713619391363</v>
      </c>
      <c r="L137" s="30">
        <f t="shared" si="17"/>
        <v>1.9894367886486917</v>
      </c>
      <c r="M137" s="8">
        <f t="shared" si="18"/>
        <v>0.33651672487577494</v>
      </c>
      <c r="O137" s="2">
        <v>13</v>
      </c>
      <c r="P137" s="2">
        <v>10</v>
      </c>
      <c r="S137" s="22">
        <f t="shared" si="19"/>
        <v>11.5</v>
      </c>
      <c r="T137" s="25">
        <f t="shared" si="20"/>
        <v>2.1213203435596424</v>
      </c>
    </row>
    <row r="138" spans="1:20" x14ac:dyDescent="0.2">
      <c r="A138" s="7" t="s">
        <v>0</v>
      </c>
      <c r="B138" s="1">
        <v>5</v>
      </c>
      <c r="C138" s="1">
        <v>12.5</v>
      </c>
      <c r="D138" s="1">
        <v>10</v>
      </c>
      <c r="E138" s="7">
        <v>16.48</v>
      </c>
      <c r="F138" s="1">
        <v>50</v>
      </c>
      <c r="G138" s="1">
        <v>7</v>
      </c>
      <c r="H138" s="7">
        <v>1</v>
      </c>
      <c r="I138" s="5">
        <f t="shared" si="14"/>
        <v>219.47166277978295</v>
      </c>
      <c r="J138" s="5">
        <f t="shared" si="15"/>
        <v>245.37677855525257</v>
      </c>
      <c r="K138" s="5">
        <f t="shared" si="16"/>
        <v>4.3894332555956588</v>
      </c>
      <c r="L138" s="30">
        <f t="shared" si="17"/>
        <v>1.9894367886486917</v>
      </c>
      <c r="M138" s="8">
        <f t="shared" si="18"/>
        <v>0.39260284568840409</v>
      </c>
      <c r="N138" s="2">
        <v>7</v>
      </c>
      <c r="O138" s="2">
        <v>10</v>
      </c>
      <c r="P138" s="2">
        <v>9</v>
      </c>
      <c r="S138" s="22">
        <f t="shared" si="19"/>
        <v>8.6666666666666661</v>
      </c>
      <c r="T138" s="25">
        <f t="shared" si="20"/>
        <v>1.5275252316519452</v>
      </c>
    </row>
    <row r="139" spans="1:20" x14ac:dyDescent="0.2">
      <c r="A139" s="7" t="s">
        <v>0</v>
      </c>
      <c r="B139" s="1">
        <v>5</v>
      </c>
      <c r="C139" s="1">
        <v>12.5</v>
      </c>
      <c r="D139" s="1">
        <v>10</v>
      </c>
      <c r="E139" s="7">
        <v>16.48</v>
      </c>
      <c r="F139" s="1">
        <v>50</v>
      </c>
      <c r="G139" s="1">
        <v>8</v>
      </c>
      <c r="H139" s="7">
        <v>1</v>
      </c>
      <c r="I139" s="5">
        <f t="shared" si="14"/>
        <v>250.82475746260911</v>
      </c>
      <c r="J139" s="5">
        <f t="shared" si="15"/>
        <v>280.43060406314584</v>
      </c>
      <c r="K139" s="5">
        <f t="shared" si="16"/>
        <v>5.0164951492521821</v>
      </c>
      <c r="L139" s="30">
        <f t="shared" si="17"/>
        <v>1.9894367886486917</v>
      </c>
      <c r="M139" s="8">
        <f t="shared" si="18"/>
        <v>0.4486889665010334</v>
      </c>
      <c r="N139" s="2">
        <v>7</v>
      </c>
      <c r="O139" s="2">
        <v>8</v>
      </c>
      <c r="P139" s="2">
        <v>9</v>
      </c>
      <c r="S139" s="22">
        <f t="shared" si="19"/>
        <v>8</v>
      </c>
      <c r="T139" s="25">
        <f t="shared" si="20"/>
        <v>1</v>
      </c>
    </row>
    <row r="140" spans="1:20" x14ac:dyDescent="0.2">
      <c r="A140" s="7" t="s">
        <v>0</v>
      </c>
      <c r="B140" s="1">
        <v>5</v>
      </c>
      <c r="C140" s="1">
        <v>12.5</v>
      </c>
      <c r="D140" s="1">
        <v>10</v>
      </c>
      <c r="E140" s="7">
        <v>16.48</v>
      </c>
      <c r="F140" s="1">
        <v>50</v>
      </c>
      <c r="G140" s="1">
        <v>1</v>
      </c>
      <c r="H140" s="7">
        <v>2</v>
      </c>
      <c r="I140" s="5">
        <f t="shared" si="14"/>
        <v>62.706189365652278</v>
      </c>
      <c r="J140" s="5">
        <f t="shared" si="15"/>
        <v>70.107651015786459</v>
      </c>
      <c r="K140" s="5">
        <f t="shared" si="16"/>
        <v>1.2541237873130455</v>
      </c>
      <c r="L140" s="30">
        <f t="shared" si="17"/>
        <v>0.99471839432434583</v>
      </c>
      <c r="M140" s="8">
        <f t="shared" si="18"/>
        <v>0.2243444832505167</v>
      </c>
      <c r="N140" s="2">
        <v>20</v>
      </c>
      <c r="O140" s="2">
        <v>24</v>
      </c>
      <c r="P140" s="2">
        <v>18</v>
      </c>
      <c r="S140" s="22">
        <f t="shared" si="19"/>
        <v>20.666666666666668</v>
      </c>
      <c r="T140" s="25">
        <f t="shared" si="20"/>
        <v>3.0550504633038997</v>
      </c>
    </row>
    <row r="141" spans="1:20" x14ac:dyDescent="0.2">
      <c r="A141" s="7" t="s">
        <v>0</v>
      </c>
      <c r="B141" s="1">
        <v>5</v>
      </c>
      <c r="C141" s="1">
        <v>12.5</v>
      </c>
      <c r="D141" s="1">
        <v>10</v>
      </c>
      <c r="E141" s="7">
        <v>16.48</v>
      </c>
      <c r="F141" s="1">
        <v>50</v>
      </c>
      <c r="G141" s="1">
        <v>2</v>
      </c>
      <c r="H141" s="7">
        <v>2</v>
      </c>
      <c r="I141" s="5">
        <f t="shared" si="14"/>
        <v>125.41237873130456</v>
      </c>
      <c r="J141" s="5">
        <f t="shared" si="15"/>
        <v>140.21530203157292</v>
      </c>
      <c r="K141" s="5">
        <f t="shared" si="16"/>
        <v>2.508247574626091</v>
      </c>
      <c r="L141" s="30">
        <f t="shared" si="17"/>
        <v>0.99471839432434583</v>
      </c>
      <c r="M141" s="8">
        <f t="shared" si="18"/>
        <v>0.4486889665010334</v>
      </c>
      <c r="N141" s="2">
        <v>24</v>
      </c>
      <c r="O141" s="2">
        <v>28</v>
      </c>
      <c r="P141" s="2">
        <v>26</v>
      </c>
      <c r="S141" s="22">
        <f t="shared" si="19"/>
        <v>26</v>
      </c>
      <c r="T141" s="25">
        <f t="shared" si="20"/>
        <v>2</v>
      </c>
    </row>
    <row r="142" spans="1:20" x14ac:dyDescent="0.2">
      <c r="A142" s="7" t="s">
        <v>0</v>
      </c>
      <c r="B142" s="1">
        <v>5</v>
      </c>
      <c r="C142" s="1">
        <v>12.5</v>
      </c>
      <c r="D142" s="1">
        <v>10</v>
      </c>
      <c r="E142" s="7">
        <v>16.48</v>
      </c>
      <c r="F142" s="1">
        <v>50</v>
      </c>
      <c r="G142" s="1">
        <v>3</v>
      </c>
      <c r="H142" s="7">
        <v>2</v>
      </c>
      <c r="I142" s="5">
        <f t="shared" si="14"/>
        <v>188.11856809695681</v>
      </c>
      <c r="J142" s="5">
        <f t="shared" si="15"/>
        <v>210.32295304735933</v>
      </c>
      <c r="K142" s="5">
        <f t="shared" si="16"/>
        <v>3.7623713619391363</v>
      </c>
      <c r="L142" s="30">
        <f t="shared" si="17"/>
        <v>0.99471839432434583</v>
      </c>
      <c r="M142" s="8">
        <f t="shared" si="18"/>
        <v>0.67303344975154988</v>
      </c>
      <c r="N142" s="2">
        <v>37</v>
      </c>
      <c r="O142" s="2">
        <v>49</v>
      </c>
      <c r="P142" s="2">
        <v>41</v>
      </c>
      <c r="S142" s="22">
        <f t="shared" si="19"/>
        <v>42.333333333333336</v>
      </c>
      <c r="T142" s="25">
        <f t="shared" si="20"/>
        <v>6.1101009266077995</v>
      </c>
    </row>
    <row r="143" spans="1:20" x14ac:dyDescent="0.2">
      <c r="A143" s="7" t="s">
        <v>0</v>
      </c>
      <c r="B143" s="1">
        <v>5</v>
      </c>
      <c r="C143" s="1">
        <v>12.5</v>
      </c>
      <c r="D143" s="1">
        <v>10</v>
      </c>
      <c r="E143" s="7">
        <v>16.48</v>
      </c>
      <c r="F143" s="1">
        <v>50</v>
      </c>
      <c r="G143" s="1">
        <v>4</v>
      </c>
      <c r="H143" s="7">
        <v>2</v>
      </c>
      <c r="I143" s="5">
        <f t="shared" si="14"/>
        <v>250.82475746260911</v>
      </c>
      <c r="J143" s="5">
        <f t="shared" si="15"/>
        <v>280.43060406314584</v>
      </c>
      <c r="K143" s="5">
        <f t="shared" si="16"/>
        <v>5.0164951492521821</v>
      </c>
      <c r="L143" s="30">
        <f t="shared" si="17"/>
        <v>0.99471839432434583</v>
      </c>
      <c r="M143" s="8">
        <f t="shared" si="18"/>
        <v>0.89737793300206681</v>
      </c>
      <c r="N143" s="2">
        <v>79</v>
      </c>
      <c r="O143" s="2">
        <v>103</v>
      </c>
      <c r="P143" s="2">
        <v>80</v>
      </c>
      <c r="S143" s="22">
        <f t="shared" si="19"/>
        <v>87.333333333333329</v>
      </c>
      <c r="T143" s="25">
        <f t="shared" si="20"/>
        <v>13.576941236277555</v>
      </c>
    </row>
    <row r="144" spans="1:20" s="41" customFormat="1" x14ac:dyDescent="0.2">
      <c r="A144" s="34" t="s">
        <v>0</v>
      </c>
      <c r="B144" s="35">
        <v>5</v>
      </c>
      <c r="C144" s="35">
        <v>12.5</v>
      </c>
      <c r="D144" s="35">
        <v>10</v>
      </c>
      <c r="E144" s="34">
        <v>16.48</v>
      </c>
      <c r="F144" s="35">
        <v>50</v>
      </c>
      <c r="G144" s="35">
        <v>5</v>
      </c>
      <c r="H144" s="34">
        <v>2</v>
      </c>
      <c r="I144" s="36">
        <f t="shared" si="14"/>
        <v>313.53094682826139</v>
      </c>
      <c r="J144" s="36">
        <f t="shared" si="15"/>
        <v>350.53825507893231</v>
      </c>
      <c r="K144" s="36">
        <f t="shared" si="16"/>
        <v>6.2706189365652278</v>
      </c>
      <c r="L144" s="37">
        <f t="shared" si="17"/>
        <v>0.99471839432434583</v>
      </c>
      <c r="M144" s="38">
        <f t="shared" si="18"/>
        <v>1.1217224162525834</v>
      </c>
      <c r="N144" s="35">
        <v>105</v>
      </c>
      <c r="O144" s="35">
        <v>101</v>
      </c>
      <c r="P144" s="35">
        <v>84</v>
      </c>
      <c r="Q144" s="35"/>
      <c r="R144" s="35"/>
      <c r="S144" s="39">
        <f t="shared" si="19"/>
        <v>96.666666666666671</v>
      </c>
      <c r="T144" s="40">
        <f t="shared" si="20"/>
        <v>11.150485789118488</v>
      </c>
    </row>
    <row r="145" spans="1:20" x14ac:dyDescent="0.2">
      <c r="A145" s="7" t="s">
        <v>0</v>
      </c>
      <c r="B145" s="1">
        <v>5</v>
      </c>
      <c r="C145" s="1">
        <v>12.5</v>
      </c>
      <c r="D145" s="1">
        <v>10</v>
      </c>
      <c r="E145" s="7">
        <v>16.48</v>
      </c>
      <c r="F145" s="1">
        <v>50</v>
      </c>
      <c r="G145" s="1">
        <v>6</v>
      </c>
      <c r="H145" s="7">
        <v>2</v>
      </c>
      <c r="I145" s="5">
        <f t="shared" si="14"/>
        <v>376.23713619391361</v>
      </c>
      <c r="J145" s="5">
        <f t="shared" si="15"/>
        <v>420.64590609471867</v>
      </c>
      <c r="K145" s="5">
        <f t="shared" si="16"/>
        <v>7.5247427238782727</v>
      </c>
      <c r="L145" s="30">
        <f t="shared" si="17"/>
        <v>0.99471839432434583</v>
      </c>
      <c r="M145" s="8">
        <f t="shared" si="18"/>
        <v>1.3460668995030998</v>
      </c>
      <c r="N145" s="2">
        <v>102</v>
      </c>
      <c r="O145" s="2">
        <v>85</v>
      </c>
      <c r="P145" s="2">
        <v>115</v>
      </c>
      <c r="S145" s="22">
        <f t="shared" si="19"/>
        <v>100.66666666666667</v>
      </c>
      <c r="T145" s="25">
        <f t="shared" si="20"/>
        <v>15.044378795195698</v>
      </c>
    </row>
    <row r="146" spans="1:20" x14ac:dyDescent="0.2">
      <c r="A146" s="7" t="s">
        <v>0</v>
      </c>
      <c r="B146" s="1">
        <v>5</v>
      </c>
      <c r="C146" s="1">
        <v>12.5</v>
      </c>
      <c r="D146" s="1">
        <v>10</v>
      </c>
      <c r="E146" s="7">
        <v>16.48</v>
      </c>
      <c r="F146" s="1">
        <v>50</v>
      </c>
      <c r="G146" s="1">
        <v>7</v>
      </c>
      <c r="H146" s="7">
        <v>2</v>
      </c>
      <c r="I146" s="5">
        <f t="shared" si="14"/>
        <v>438.94332555956589</v>
      </c>
      <c r="J146" s="5">
        <f t="shared" si="15"/>
        <v>490.75355711050514</v>
      </c>
      <c r="K146" s="5">
        <f t="shared" si="16"/>
        <v>8.7788665111913176</v>
      </c>
      <c r="L146" s="30">
        <f t="shared" si="17"/>
        <v>0.99471839432434583</v>
      </c>
      <c r="M146" s="8">
        <f t="shared" si="18"/>
        <v>1.5704113827536164</v>
      </c>
      <c r="N146" s="2">
        <v>100</v>
      </c>
      <c r="O146" s="2">
        <v>78</v>
      </c>
      <c r="P146" s="2">
        <v>82</v>
      </c>
      <c r="S146" s="22">
        <f t="shared" si="19"/>
        <v>86.666666666666671</v>
      </c>
      <c r="T146" s="25">
        <f t="shared" si="20"/>
        <v>11.718930554164656</v>
      </c>
    </row>
    <row r="147" spans="1:20" x14ac:dyDescent="0.2">
      <c r="A147" s="7" t="s">
        <v>0</v>
      </c>
      <c r="B147" s="1">
        <v>5</v>
      </c>
      <c r="C147" s="1">
        <v>12.5</v>
      </c>
      <c r="D147" s="1">
        <v>10</v>
      </c>
      <c r="E147" s="7">
        <v>16.48</v>
      </c>
      <c r="F147" s="1">
        <v>50</v>
      </c>
      <c r="G147" s="1">
        <v>1</v>
      </c>
      <c r="H147" s="7">
        <v>3</v>
      </c>
      <c r="I147" s="5">
        <f t="shared" si="14"/>
        <v>94.059284048478403</v>
      </c>
      <c r="J147" s="5">
        <f t="shared" si="15"/>
        <v>105.16147652367967</v>
      </c>
      <c r="K147" s="5">
        <f t="shared" si="16"/>
        <v>1.8811856809695682</v>
      </c>
      <c r="L147" s="30">
        <f t="shared" si="17"/>
        <v>0.66314559621623059</v>
      </c>
      <c r="M147" s="8">
        <f t="shared" si="18"/>
        <v>0.50477508731366239</v>
      </c>
      <c r="N147" s="2">
        <v>20</v>
      </c>
      <c r="O147" s="2">
        <v>18</v>
      </c>
      <c r="P147" s="2">
        <v>20</v>
      </c>
      <c r="S147" s="22">
        <f t="shared" si="19"/>
        <v>19.333333333333332</v>
      </c>
      <c r="T147" s="25">
        <f t="shared" si="20"/>
        <v>1.1547005383792515</v>
      </c>
    </row>
    <row r="148" spans="1:20" x14ac:dyDescent="0.2">
      <c r="A148" s="7" t="s">
        <v>0</v>
      </c>
      <c r="B148" s="1">
        <v>5</v>
      </c>
      <c r="C148" s="1">
        <v>12.5</v>
      </c>
      <c r="D148" s="1">
        <v>10</v>
      </c>
      <c r="E148" s="7">
        <v>16.48</v>
      </c>
      <c r="F148" s="1">
        <v>50</v>
      </c>
      <c r="G148" s="1">
        <v>2</v>
      </c>
      <c r="H148" s="7">
        <v>3</v>
      </c>
      <c r="I148" s="5">
        <f t="shared" si="14"/>
        <v>188.11856809695681</v>
      </c>
      <c r="J148" s="5">
        <f t="shared" si="15"/>
        <v>210.32295304735933</v>
      </c>
      <c r="K148" s="5">
        <f t="shared" si="16"/>
        <v>3.7623713619391363</v>
      </c>
      <c r="L148" s="30">
        <f t="shared" si="17"/>
        <v>0.66314559621623059</v>
      </c>
      <c r="M148" s="8">
        <f t="shared" si="18"/>
        <v>1.0095501746273248</v>
      </c>
      <c r="N148" s="2">
        <v>55</v>
      </c>
      <c r="O148" s="2">
        <v>47</v>
      </c>
      <c r="P148" s="2">
        <v>49</v>
      </c>
      <c r="S148" s="22">
        <f t="shared" si="19"/>
        <v>50.333333333333336</v>
      </c>
      <c r="T148" s="25">
        <f t="shared" si="20"/>
        <v>4.1633319989322661</v>
      </c>
    </row>
    <row r="149" spans="1:20" x14ac:dyDescent="0.2">
      <c r="A149" s="7" t="s">
        <v>0</v>
      </c>
      <c r="B149" s="1">
        <v>5</v>
      </c>
      <c r="C149" s="1">
        <v>12.5</v>
      </c>
      <c r="D149" s="1">
        <v>10</v>
      </c>
      <c r="E149" s="7">
        <v>16.48</v>
      </c>
      <c r="F149" s="1">
        <v>50</v>
      </c>
      <c r="G149" s="1">
        <v>3</v>
      </c>
      <c r="H149" s="7">
        <v>3</v>
      </c>
      <c r="I149" s="5">
        <f t="shared" si="14"/>
        <v>282.17785214543522</v>
      </c>
      <c r="J149" s="5">
        <f t="shared" si="15"/>
        <v>315.48442957103902</v>
      </c>
      <c r="K149" s="5">
        <f t="shared" si="16"/>
        <v>5.6435570429087045</v>
      </c>
      <c r="L149" s="30">
        <f t="shared" si="17"/>
        <v>0.66314559621623059</v>
      </c>
      <c r="M149" s="8">
        <f t="shared" si="18"/>
        <v>1.5143252619409873</v>
      </c>
      <c r="N149" s="2">
        <v>63</v>
      </c>
      <c r="O149" s="2">
        <v>60</v>
      </c>
      <c r="P149" s="2">
        <v>62</v>
      </c>
      <c r="S149" s="22">
        <f t="shared" si="19"/>
        <v>61.666666666666664</v>
      </c>
      <c r="T149" s="25">
        <f t="shared" si="20"/>
        <v>1.5275252316519465</v>
      </c>
    </row>
    <row r="150" spans="1:20" x14ac:dyDescent="0.2">
      <c r="A150" s="7" t="s">
        <v>0</v>
      </c>
      <c r="B150" s="1">
        <v>5</v>
      </c>
      <c r="C150" s="1">
        <v>12.5</v>
      </c>
      <c r="D150" s="1">
        <v>10</v>
      </c>
      <c r="E150" s="7">
        <v>16.48</v>
      </c>
      <c r="F150" s="1">
        <v>50</v>
      </c>
      <c r="G150" s="1">
        <v>4</v>
      </c>
      <c r="H150" s="7">
        <v>3</v>
      </c>
      <c r="I150" s="5">
        <f t="shared" si="14"/>
        <v>376.23713619391361</v>
      </c>
      <c r="J150" s="5">
        <f t="shared" si="15"/>
        <v>420.64590609471867</v>
      </c>
      <c r="K150" s="5">
        <f t="shared" si="16"/>
        <v>7.5247427238782727</v>
      </c>
      <c r="L150" s="30">
        <f t="shared" si="17"/>
        <v>0.66314559621623059</v>
      </c>
      <c r="M150" s="8">
        <f t="shared" si="18"/>
        <v>2.0191003492546495</v>
      </c>
      <c r="N150" s="2">
        <v>63</v>
      </c>
      <c r="O150" s="2">
        <v>71</v>
      </c>
      <c r="P150" s="2">
        <v>74</v>
      </c>
      <c r="S150" s="22">
        <f t="shared" si="19"/>
        <v>69.333333333333329</v>
      </c>
      <c r="T150" s="25">
        <f t="shared" si="20"/>
        <v>5.6862407030773268</v>
      </c>
    </row>
    <row r="151" spans="1:20" x14ac:dyDescent="0.2">
      <c r="A151" s="7" t="s">
        <v>0</v>
      </c>
      <c r="B151" s="1">
        <v>5</v>
      </c>
      <c r="C151" s="1">
        <v>12.5</v>
      </c>
      <c r="D151" s="1">
        <v>10</v>
      </c>
      <c r="E151" s="7">
        <v>16.48</v>
      </c>
      <c r="F151" s="1">
        <v>50</v>
      </c>
      <c r="G151" s="1">
        <v>5</v>
      </c>
      <c r="H151" s="7">
        <v>3</v>
      </c>
      <c r="I151" s="5">
        <f t="shared" si="14"/>
        <v>470.29642024239212</v>
      </c>
      <c r="J151" s="5">
        <f t="shared" si="15"/>
        <v>525.80738261839849</v>
      </c>
      <c r="K151" s="5">
        <f t="shared" si="16"/>
        <v>9.4059284048478418</v>
      </c>
      <c r="L151" s="30">
        <f t="shared" si="17"/>
        <v>0.66314559621623059</v>
      </c>
      <c r="M151" s="8">
        <f t="shared" si="18"/>
        <v>2.5238754365683125</v>
      </c>
      <c r="N151" s="2">
        <v>59</v>
      </c>
      <c r="O151" s="2">
        <v>59</v>
      </c>
      <c r="P151" s="2">
        <v>63</v>
      </c>
      <c r="S151" s="22">
        <f t="shared" si="19"/>
        <v>60.333333333333336</v>
      </c>
      <c r="T151" s="25">
        <f t="shared" si="20"/>
        <v>2.3094010767585029</v>
      </c>
    </row>
    <row r="152" spans="1:20" x14ac:dyDescent="0.2">
      <c r="A152" s="7" t="s">
        <v>0</v>
      </c>
      <c r="B152" s="1">
        <v>5</v>
      </c>
      <c r="C152" s="1">
        <v>12.5</v>
      </c>
      <c r="D152" s="1">
        <v>10</v>
      </c>
      <c r="E152" s="7">
        <v>16.48</v>
      </c>
      <c r="F152" s="1">
        <v>50</v>
      </c>
      <c r="G152" s="1">
        <v>6</v>
      </c>
      <c r="H152" s="7">
        <v>3</v>
      </c>
      <c r="I152" s="5">
        <f t="shared" si="14"/>
        <v>564.35570429087045</v>
      </c>
      <c r="J152" s="5">
        <f t="shared" si="15"/>
        <v>630.96885914207803</v>
      </c>
      <c r="K152" s="5">
        <f t="shared" si="16"/>
        <v>11.287114085817409</v>
      </c>
      <c r="L152" s="30">
        <f t="shared" si="17"/>
        <v>0.66314559621623059</v>
      </c>
      <c r="M152" s="8">
        <f t="shared" si="18"/>
        <v>3.0286505238819745</v>
      </c>
      <c r="N152" s="2">
        <v>50</v>
      </c>
      <c r="O152" s="2">
        <v>70</v>
      </c>
      <c r="P152" s="2">
        <v>54</v>
      </c>
      <c r="S152" s="22">
        <f t="shared" si="19"/>
        <v>58</v>
      </c>
      <c r="T152" s="25">
        <f t="shared" si="20"/>
        <v>10.583005244258363</v>
      </c>
    </row>
    <row r="153" spans="1:20" x14ac:dyDescent="0.2">
      <c r="A153" s="7" t="s">
        <v>0</v>
      </c>
      <c r="B153" s="1">
        <v>5</v>
      </c>
      <c r="C153" s="1">
        <v>12.5</v>
      </c>
      <c r="D153" s="1">
        <v>10</v>
      </c>
      <c r="E153" s="7">
        <v>16.48</v>
      </c>
      <c r="F153" s="1">
        <v>50</v>
      </c>
      <c r="G153" s="1">
        <v>1</v>
      </c>
      <c r="H153" s="7">
        <v>4</v>
      </c>
      <c r="I153" s="5">
        <f t="shared" si="14"/>
        <v>125.41237873130456</v>
      </c>
      <c r="J153" s="5">
        <f t="shared" si="15"/>
        <v>140.21530203157292</v>
      </c>
      <c r="K153" s="5">
        <f t="shared" si="16"/>
        <v>2.508247574626091</v>
      </c>
      <c r="L153" s="30">
        <f t="shared" si="17"/>
        <v>0.49735919716217292</v>
      </c>
      <c r="M153" s="8">
        <f t="shared" si="18"/>
        <v>0.89737793300206681</v>
      </c>
      <c r="N153" s="2">
        <v>23</v>
      </c>
      <c r="O153" s="2">
        <v>27</v>
      </c>
      <c r="P153" s="2">
        <v>19</v>
      </c>
      <c r="S153" s="22">
        <f t="shared" si="19"/>
        <v>23</v>
      </c>
      <c r="T153" s="25">
        <f t="shared" si="20"/>
        <v>4</v>
      </c>
    </row>
    <row r="154" spans="1:20" x14ac:dyDescent="0.2">
      <c r="A154" s="7" t="s">
        <v>0</v>
      </c>
      <c r="B154" s="1">
        <v>5</v>
      </c>
      <c r="C154" s="1">
        <v>12.5</v>
      </c>
      <c r="D154" s="1">
        <v>10</v>
      </c>
      <c r="E154" s="7">
        <v>16.48</v>
      </c>
      <c r="F154" s="1">
        <v>50</v>
      </c>
      <c r="G154" s="1">
        <v>2</v>
      </c>
      <c r="H154" s="7">
        <v>4</v>
      </c>
      <c r="I154" s="5">
        <f t="shared" si="14"/>
        <v>250.82475746260911</v>
      </c>
      <c r="J154" s="5">
        <f t="shared" si="15"/>
        <v>280.43060406314584</v>
      </c>
      <c r="K154" s="5">
        <f t="shared" si="16"/>
        <v>5.0164951492521821</v>
      </c>
      <c r="L154" s="30">
        <f t="shared" si="17"/>
        <v>0.49735919716217292</v>
      </c>
      <c r="M154" s="8">
        <f t="shared" si="18"/>
        <v>1.7947558660041336</v>
      </c>
      <c r="N154" s="2">
        <v>45</v>
      </c>
      <c r="O154" s="2">
        <v>52</v>
      </c>
      <c r="P154" s="2">
        <v>45</v>
      </c>
      <c r="S154" s="22">
        <f t="shared" si="19"/>
        <v>47.333333333333336</v>
      </c>
      <c r="T154" s="25">
        <f t="shared" si="20"/>
        <v>4.0414518843273806</v>
      </c>
    </row>
    <row r="155" spans="1:20" x14ac:dyDescent="0.2">
      <c r="A155" s="7" t="s">
        <v>0</v>
      </c>
      <c r="B155" s="1">
        <v>5</v>
      </c>
      <c r="C155" s="1">
        <v>12.5</v>
      </c>
      <c r="D155" s="1">
        <v>10</v>
      </c>
      <c r="E155" s="7">
        <v>16.48</v>
      </c>
      <c r="F155" s="1">
        <v>50</v>
      </c>
      <c r="G155" s="1">
        <v>3</v>
      </c>
      <c r="H155" s="7">
        <v>4</v>
      </c>
      <c r="I155" s="5">
        <f t="shared" si="14"/>
        <v>376.23713619391361</v>
      </c>
      <c r="J155" s="5">
        <f t="shared" si="15"/>
        <v>420.64590609471867</v>
      </c>
      <c r="K155" s="5">
        <f t="shared" si="16"/>
        <v>7.5247427238782727</v>
      </c>
      <c r="L155" s="30">
        <f t="shared" si="17"/>
        <v>0.49735919716217292</v>
      </c>
      <c r="M155" s="8">
        <f t="shared" si="18"/>
        <v>2.6921337990061995</v>
      </c>
      <c r="N155" s="2">
        <v>51</v>
      </c>
      <c r="O155" s="2">
        <v>57</v>
      </c>
      <c r="P155" s="2">
        <v>62</v>
      </c>
      <c r="S155" s="22">
        <f t="shared" si="19"/>
        <v>56.666666666666664</v>
      </c>
      <c r="T155" s="25">
        <f t="shared" si="20"/>
        <v>5.5075705472861021</v>
      </c>
    </row>
    <row r="156" spans="1:20" x14ac:dyDescent="0.2">
      <c r="A156" s="7" t="s">
        <v>0</v>
      </c>
      <c r="B156" s="1">
        <v>5</v>
      </c>
      <c r="C156" s="1">
        <v>12.5</v>
      </c>
      <c r="D156" s="1">
        <v>10</v>
      </c>
      <c r="E156" s="7">
        <v>16.48</v>
      </c>
      <c r="F156" s="1">
        <v>50</v>
      </c>
      <c r="G156" s="1">
        <v>4</v>
      </c>
      <c r="H156" s="7">
        <v>4</v>
      </c>
      <c r="I156" s="5">
        <f t="shared" si="14"/>
        <v>501.64951492521823</v>
      </c>
      <c r="J156" s="5">
        <f t="shared" si="15"/>
        <v>560.86120812629167</v>
      </c>
      <c r="K156" s="5">
        <f t="shared" si="16"/>
        <v>10.032990298504364</v>
      </c>
      <c r="L156" s="30">
        <f t="shared" si="17"/>
        <v>0.49735919716217292</v>
      </c>
      <c r="M156" s="8">
        <f t="shared" si="18"/>
        <v>3.5895117320082672</v>
      </c>
      <c r="N156" s="2">
        <v>43</v>
      </c>
      <c r="O156" s="2">
        <v>44</v>
      </c>
      <c r="P156" s="2">
        <v>45</v>
      </c>
      <c r="S156" s="22">
        <f t="shared" si="19"/>
        <v>44</v>
      </c>
      <c r="T156" s="25">
        <f t="shared" si="20"/>
        <v>1</v>
      </c>
    </row>
    <row r="157" spans="1:20" s="41" customFormat="1" x14ac:dyDescent="0.2">
      <c r="A157" s="34" t="s">
        <v>0</v>
      </c>
      <c r="B157" s="35">
        <v>5</v>
      </c>
      <c r="C157" s="35">
        <v>12.5</v>
      </c>
      <c r="D157" s="35">
        <v>10</v>
      </c>
      <c r="E157" s="34">
        <v>16.48</v>
      </c>
      <c r="F157" s="35">
        <v>50</v>
      </c>
      <c r="G157" s="35">
        <v>5</v>
      </c>
      <c r="H157" s="34">
        <v>4</v>
      </c>
      <c r="I157" s="36">
        <f t="shared" si="14"/>
        <v>627.06189365652278</v>
      </c>
      <c r="J157" s="36">
        <f t="shared" si="15"/>
        <v>701.07651015786462</v>
      </c>
      <c r="K157" s="36">
        <f t="shared" si="16"/>
        <v>12.541237873130456</v>
      </c>
      <c r="L157" s="37">
        <f t="shared" si="17"/>
        <v>0.49735919716217292</v>
      </c>
      <c r="M157" s="38">
        <f t="shared" si="18"/>
        <v>4.4868896650103336</v>
      </c>
      <c r="N157" s="35">
        <v>38</v>
      </c>
      <c r="O157" s="35">
        <v>39</v>
      </c>
      <c r="P157" s="35">
        <v>42</v>
      </c>
      <c r="Q157" s="35"/>
      <c r="R157" s="35"/>
      <c r="S157" s="39">
        <f t="shared" si="19"/>
        <v>39.666666666666664</v>
      </c>
      <c r="T157" s="40">
        <f t="shared" si="20"/>
        <v>2.0816659994661326</v>
      </c>
    </row>
    <row r="158" spans="1:20" x14ac:dyDescent="0.2">
      <c r="A158" s="7" t="s">
        <v>0</v>
      </c>
      <c r="B158" s="1">
        <v>5</v>
      </c>
      <c r="C158" s="1">
        <v>12.5</v>
      </c>
      <c r="D158" s="1">
        <v>10</v>
      </c>
      <c r="E158" s="7">
        <v>16.48</v>
      </c>
      <c r="F158" s="1">
        <v>50</v>
      </c>
      <c r="G158" s="1">
        <v>6</v>
      </c>
      <c r="H158" s="7">
        <v>4</v>
      </c>
      <c r="I158" s="5">
        <f t="shared" si="14"/>
        <v>752.47427238782723</v>
      </c>
      <c r="J158" s="5">
        <f t="shared" si="15"/>
        <v>841.29181218943734</v>
      </c>
      <c r="K158" s="5">
        <f t="shared" si="16"/>
        <v>15.049485447756545</v>
      </c>
      <c r="L158" s="30">
        <f t="shared" si="17"/>
        <v>0.49735919716217292</v>
      </c>
      <c r="M158" s="8">
        <f t="shared" si="18"/>
        <v>5.3842675980123991</v>
      </c>
      <c r="N158" s="2">
        <v>38</v>
      </c>
      <c r="O158" s="2">
        <v>40</v>
      </c>
      <c r="P158" s="2">
        <v>39</v>
      </c>
      <c r="S158" s="22">
        <f t="shared" si="19"/>
        <v>39</v>
      </c>
      <c r="T158" s="25">
        <f t="shared" si="20"/>
        <v>1</v>
      </c>
    </row>
    <row r="159" spans="1:20" x14ac:dyDescent="0.2">
      <c r="A159" s="7" t="s">
        <v>0</v>
      </c>
      <c r="B159" s="1">
        <v>5</v>
      </c>
      <c r="C159" s="1">
        <v>12.5</v>
      </c>
      <c r="D159" s="1">
        <v>10</v>
      </c>
      <c r="E159" s="7">
        <v>16.48</v>
      </c>
      <c r="F159" s="1">
        <v>50</v>
      </c>
      <c r="G159" s="1">
        <v>1</v>
      </c>
      <c r="H159" s="7">
        <v>8</v>
      </c>
      <c r="I159" s="5">
        <f t="shared" si="14"/>
        <v>250.82475746260911</v>
      </c>
      <c r="J159" s="5">
        <f t="shared" si="15"/>
        <v>280.43060406314584</v>
      </c>
      <c r="K159" s="5">
        <f t="shared" si="16"/>
        <v>5.0164951492521821</v>
      </c>
      <c r="L159" s="30">
        <f t="shared" si="17"/>
        <v>0.24867959858108646</v>
      </c>
      <c r="M159" s="8">
        <f t="shared" si="18"/>
        <v>3.5895117320082672</v>
      </c>
      <c r="N159" s="2">
        <v>29</v>
      </c>
      <c r="O159" s="2">
        <v>30</v>
      </c>
      <c r="P159" s="2">
        <v>32</v>
      </c>
      <c r="S159" s="22">
        <f t="shared" si="19"/>
        <v>30.333333333333332</v>
      </c>
      <c r="T159" s="25">
        <f t="shared" si="20"/>
        <v>1.5275252316519465</v>
      </c>
    </row>
    <row r="160" spans="1:20" x14ac:dyDescent="0.2">
      <c r="A160" s="7" t="s">
        <v>0</v>
      </c>
      <c r="B160" s="1">
        <v>5</v>
      </c>
      <c r="C160" s="1">
        <v>12.5</v>
      </c>
      <c r="D160" s="1">
        <v>10</v>
      </c>
      <c r="E160" s="7">
        <v>16.48</v>
      </c>
      <c r="F160" s="1">
        <v>50</v>
      </c>
      <c r="G160" s="1">
        <v>2</v>
      </c>
      <c r="H160" s="7">
        <v>8</v>
      </c>
      <c r="I160" s="5">
        <f t="shared" si="14"/>
        <v>501.64951492521823</v>
      </c>
      <c r="J160" s="5">
        <f t="shared" si="15"/>
        <v>560.86120812629167</v>
      </c>
      <c r="K160" s="5">
        <f t="shared" si="16"/>
        <v>10.032990298504364</v>
      </c>
      <c r="L160" s="30">
        <f t="shared" si="17"/>
        <v>0.24867959858108646</v>
      </c>
      <c r="M160" s="8">
        <f t="shared" si="18"/>
        <v>7.1790234640165345</v>
      </c>
      <c r="N160" s="2">
        <v>27</v>
      </c>
      <c r="O160" s="2">
        <v>27</v>
      </c>
      <c r="P160" s="2">
        <v>29</v>
      </c>
      <c r="S160" s="22">
        <f t="shared" si="19"/>
        <v>27.666666666666668</v>
      </c>
      <c r="T160" s="25">
        <f t="shared" si="20"/>
        <v>1.1547005383792515</v>
      </c>
    </row>
    <row r="161" spans="1:20" x14ac:dyDescent="0.2">
      <c r="A161" s="7" t="s">
        <v>0</v>
      </c>
      <c r="B161" s="1">
        <v>5</v>
      </c>
      <c r="C161" s="1">
        <v>12.5</v>
      </c>
      <c r="D161" s="1">
        <v>10</v>
      </c>
      <c r="E161" s="7">
        <v>16.48</v>
      </c>
      <c r="F161" s="1">
        <v>50</v>
      </c>
      <c r="G161" s="1">
        <v>3</v>
      </c>
      <c r="H161" s="7">
        <v>8</v>
      </c>
      <c r="I161" s="5">
        <f t="shared" si="14"/>
        <v>752.47427238782723</v>
      </c>
      <c r="J161" s="5">
        <f t="shared" si="15"/>
        <v>841.29181218943734</v>
      </c>
      <c r="K161" s="5">
        <f t="shared" si="16"/>
        <v>15.049485447756545</v>
      </c>
      <c r="L161" s="30">
        <f t="shared" si="17"/>
        <v>0.24867959858108646</v>
      </c>
      <c r="M161" s="8">
        <f t="shared" si="18"/>
        <v>10.768535196024798</v>
      </c>
      <c r="N161" s="2">
        <v>21</v>
      </c>
      <c r="O161" s="2">
        <v>23</v>
      </c>
      <c r="P161" s="2">
        <v>25</v>
      </c>
      <c r="S161" s="22">
        <f t="shared" si="19"/>
        <v>23</v>
      </c>
      <c r="T161" s="25">
        <f t="shared" si="20"/>
        <v>2</v>
      </c>
    </row>
    <row r="162" spans="1:20" x14ac:dyDescent="0.2">
      <c r="A162" s="6" t="s">
        <v>0</v>
      </c>
      <c r="B162" s="4">
        <v>5</v>
      </c>
      <c r="C162" s="4">
        <v>12.5</v>
      </c>
      <c r="D162" s="4">
        <v>10</v>
      </c>
      <c r="E162" s="6">
        <v>16.48</v>
      </c>
      <c r="F162" s="4">
        <v>50</v>
      </c>
      <c r="G162" s="4">
        <v>4</v>
      </c>
      <c r="H162" s="6">
        <v>8</v>
      </c>
      <c r="I162" s="9">
        <f t="shared" si="14"/>
        <v>1003.2990298504365</v>
      </c>
      <c r="J162" s="9">
        <f t="shared" si="15"/>
        <v>1121.7224162525833</v>
      </c>
      <c r="K162" s="9">
        <f t="shared" si="16"/>
        <v>20.065980597008728</v>
      </c>
      <c r="L162" s="31">
        <f t="shared" si="17"/>
        <v>0.24867959858108646</v>
      </c>
      <c r="M162" s="10">
        <f t="shared" si="18"/>
        <v>14.358046928033069</v>
      </c>
      <c r="N162" s="20">
        <v>18</v>
      </c>
      <c r="O162" s="20">
        <v>20</v>
      </c>
      <c r="P162" s="20">
        <v>22</v>
      </c>
      <c r="Q162" s="4"/>
      <c r="R162" s="4"/>
      <c r="S162" s="23">
        <f t="shared" si="19"/>
        <v>20</v>
      </c>
      <c r="T162" s="11">
        <f t="shared" si="20"/>
        <v>2</v>
      </c>
    </row>
    <row r="163" spans="1:20" x14ac:dyDescent="0.2">
      <c r="A163" s="12" t="s">
        <v>16</v>
      </c>
      <c r="B163" s="1">
        <v>5</v>
      </c>
      <c r="C163" s="1">
        <v>22.5</v>
      </c>
      <c r="D163" s="1">
        <v>10</v>
      </c>
      <c r="E163" s="12">
        <v>17.190000000000001</v>
      </c>
      <c r="F163" s="1">
        <v>10</v>
      </c>
      <c r="G163" s="1">
        <v>0</v>
      </c>
      <c r="H163" s="12">
        <v>0</v>
      </c>
      <c r="I163" s="5">
        <f t="shared" ref="I163:I212" si="21">(2*PI()*G163*(H163/1000)*998*(B163/1000))/0.001</f>
        <v>0</v>
      </c>
      <c r="J163" s="5">
        <f t="shared" ref="J163:J212" si="22">I163*SQRT(C163/(2*B163))</f>
        <v>0</v>
      </c>
      <c r="K163" s="5">
        <f t="shared" si="16"/>
        <v>0</v>
      </c>
      <c r="L163" s="30" t="e">
        <f t="shared" si="17"/>
        <v>#DIV/0!</v>
      </c>
      <c r="M163" s="8">
        <f t="shared" si="18"/>
        <v>0</v>
      </c>
      <c r="N163" s="2">
        <v>16</v>
      </c>
      <c r="O163" s="2">
        <v>13</v>
      </c>
      <c r="S163" s="22">
        <f t="shared" si="19"/>
        <v>14.5</v>
      </c>
      <c r="T163" s="25">
        <f t="shared" si="20"/>
        <v>2.1213203435596424</v>
      </c>
    </row>
    <row r="164" spans="1:20" x14ac:dyDescent="0.2">
      <c r="A164" s="7" t="s">
        <v>16</v>
      </c>
      <c r="B164" s="1">
        <v>5</v>
      </c>
      <c r="C164" s="1">
        <v>22.5</v>
      </c>
      <c r="D164" s="1">
        <v>10</v>
      </c>
      <c r="E164" s="7">
        <v>17.190000000000001</v>
      </c>
      <c r="F164" s="1">
        <v>10</v>
      </c>
      <c r="G164" s="1">
        <v>1</v>
      </c>
      <c r="H164" s="7">
        <v>1</v>
      </c>
      <c r="I164" s="5">
        <f t="shared" si="21"/>
        <v>31.353094682826139</v>
      </c>
      <c r="J164" s="5">
        <f t="shared" si="22"/>
        <v>47.029642024239209</v>
      </c>
      <c r="K164" s="5">
        <f t="shared" si="16"/>
        <v>3.1353094682826139</v>
      </c>
      <c r="L164" s="30">
        <f t="shared" si="17"/>
        <v>3.5809862195676452</v>
      </c>
      <c r="M164" s="8">
        <f t="shared" si="18"/>
        <v>0.20902063121884096</v>
      </c>
      <c r="N164" s="2">
        <v>15</v>
      </c>
      <c r="O164" s="2">
        <v>15</v>
      </c>
      <c r="S164" s="22">
        <f t="shared" si="19"/>
        <v>15</v>
      </c>
      <c r="T164" s="25">
        <f t="shared" si="20"/>
        <v>0</v>
      </c>
    </row>
    <row r="165" spans="1:20" x14ac:dyDescent="0.2">
      <c r="A165" s="7" t="s">
        <v>16</v>
      </c>
      <c r="B165" s="1">
        <v>5</v>
      </c>
      <c r="C165" s="1">
        <v>22.5</v>
      </c>
      <c r="D165" s="1">
        <v>10</v>
      </c>
      <c r="E165" s="7">
        <v>17.190000000000001</v>
      </c>
      <c r="F165" s="1">
        <v>10</v>
      </c>
      <c r="G165" s="1">
        <v>2</v>
      </c>
      <c r="H165" s="7">
        <v>1</v>
      </c>
      <c r="I165" s="5">
        <f t="shared" si="21"/>
        <v>62.706189365652278</v>
      </c>
      <c r="J165" s="5">
        <f t="shared" si="22"/>
        <v>94.059284048478418</v>
      </c>
      <c r="K165" s="5">
        <f t="shared" si="16"/>
        <v>6.2706189365652278</v>
      </c>
      <c r="L165" s="30">
        <f t="shared" si="17"/>
        <v>3.5809862195676452</v>
      </c>
      <c r="M165" s="8">
        <f t="shared" si="18"/>
        <v>0.41804126243768192</v>
      </c>
      <c r="N165" s="2">
        <v>15</v>
      </c>
      <c r="O165" s="2">
        <v>13</v>
      </c>
      <c r="S165" s="22">
        <f t="shared" si="19"/>
        <v>14</v>
      </c>
      <c r="T165" s="25">
        <f t="shared" si="20"/>
        <v>1.4142135623730951</v>
      </c>
    </row>
    <row r="166" spans="1:20" x14ac:dyDescent="0.2">
      <c r="A166" s="7" t="s">
        <v>16</v>
      </c>
      <c r="B166" s="1">
        <v>5</v>
      </c>
      <c r="C166" s="1">
        <v>22.5</v>
      </c>
      <c r="D166" s="1">
        <v>10</v>
      </c>
      <c r="E166" s="7">
        <v>17.190000000000001</v>
      </c>
      <c r="F166" s="1">
        <v>10</v>
      </c>
      <c r="G166" s="1">
        <v>3</v>
      </c>
      <c r="H166" s="7">
        <v>1</v>
      </c>
      <c r="I166" s="5">
        <f t="shared" si="21"/>
        <v>94.059284048478403</v>
      </c>
      <c r="J166" s="5">
        <f t="shared" si="22"/>
        <v>141.08892607271761</v>
      </c>
      <c r="K166" s="5">
        <f t="shared" si="16"/>
        <v>9.40592840484784</v>
      </c>
      <c r="L166" s="30">
        <f t="shared" si="17"/>
        <v>3.5809862195676452</v>
      </c>
      <c r="M166" s="8">
        <f t="shared" si="18"/>
        <v>0.62706189365652276</v>
      </c>
      <c r="N166" s="2">
        <v>12</v>
      </c>
      <c r="O166" s="2">
        <v>16</v>
      </c>
      <c r="S166" s="22">
        <f t="shared" si="19"/>
        <v>14</v>
      </c>
      <c r="T166" s="25">
        <f t="shared" si="20"/>
        <v>2.8284271247461903</v>
      </c>
    </row>
    <row r="167" spans="1:20" x14ac:dyDescent="0.2">
      <c r="A167" s="7" t="s">
        <v>16</v>
      </c>
      <c r="B167" s="1">
        <v>5</v>
      </c>
      <c r="C167" s="1">
        <v>22.5</v>
      </c>
      <c r="D167" s="1">
        <v>10</v>
      </c>
      <c r="E167" s="7">
        <v>17.190000000000001</v>
      </c>
      <c r="F167" s="1">
        <v>10</v>
      </c>
      <c r="G167" s="1">
        <v>4</v>
      </c>
      <c r="H167" s="7">
        <v>1</v>
      </c>
      <c r="I167" s="5">
        <f t="shared" si="21"/>
        <v>125.41237873130456</v>
      </c>
      <c r="J167" s="5">
        <f t="shared" si="22"/>
        <v>188.11856809695684</v>
      </c>
      <c r="K167" s="5">
        <f t="shared" si="16"/>
        <v>12.541237873130456</v>
      </c>
      <c r="L167" s="30">
        <f t="shared" si="17"/>
        <v>3.5809862195676452</v>
      </c>
      <c r="M167" s="8">
        <f t="shared" si="18"/>
        <v>0.83608252487536383</v>
      </c>
      <c r="N167" s="2">
        <v>12</v>
      </c>
      <c r="O167" s="2">
        <v>15</v>
      </c>
      <c r="S167" s="22">
        <f t="shared" si="19"/>
        <v>13.5</v>
      </c>
      <c r="T167" s="25">
        <f t="shared" si="20"/>
        <v>2.1213203435596424</v>
      </c>
    </row>
    <row r="168" spans="1:20" x14ac:dyDescent="0.2">
      <c r="A168" s="7" t="s">
        <v>16</v>
      </c>
      <c r="B168" s="1">
        <v>5</v>
      </c>
      <c r="C168" s="1">
        <v>22.5</v>
      </c>
      <c r="D168" s="1">
        <v>10</v>
      </c>
      <c r="E168" s="7">
        <v>17.190000000000001</v>
      </c>
      <c r="F168" s="1">
        <v>10</v>
      </c>
      <c r="G168" s="1">
        <v>5</v>
      </c>
      <c r="H168" s="7">
        <v>1</v>
      </c>
      <c r="I168" s="5">
        <f t="shared" si="21"/>
        <v>156.7654734141307</v>
      </c>
      <c r="J168" s="5">
        <f t="shared" si="22"/>
        <v>235.14821012119603</v>
      </c>
      <c r="K168" s="5">
        <f t="shared" si="16"/>
        <v>15.67654734141307</v>
      </c>
      <c r="L168" s="30">
        <f t="shared" si="17"/>
        <v>3.5809862195676452</v>
      </c>
      <c r="M168" s="8">
        <f t="shared" si="18"/>
        <v>1.0451031560942048</v>
      </c>
      <c r="N168" s="2">
        <v>11</v>
      </c>
      <c r="O168" s="2">
        <v>15</v>
      </c>
      <c r="S168" s="22">
        <f t="shared" si="19"/>
        <v>13</v>
      </c>
      <c r="T168" s="25">
        <f t="shared" si="20"/>
        <v>2.8284271247461903</v>
      </c>
    </row>
    <row r="169" spans="1:20" x14ac:dyDescent="0.2">
      <c r="A169" s="7" t="s">
        <v>16</v>
      </c>
      <c r="B169" s="1">
        <v>5</v>
      </c>
      <c r="C169" s="1">
        <v>22.5</v>
      </c>
      <c r="D169" s="1">
        <v>10</v>
      </c>
      <c r="E169" s="7">
        <v>17.190000000000001</v>
      </c>
      <c r="F169" s="1">
        <v>10</v>
      </c>
      <c r="G169" s="1">
        <v>1</v>
      </c>
      <c r="H169" s="7">
        <v>2</v>
      </c>
      <c r="I169" s="5">
        <f t="shared" si="21"/>
        <v>62.706189365652278</v>
      </c>
      <c r="J169" s="5">
        <f t="shared" si="22"/>
        <v>94.059284048478418</v>
      </c>
      <c r="K169" s="5">
        <f t="shared" si="16"/>
        <v>6.2706189365652278</v>
      </c>
      <c r="L169" s="30">
        <f t="shared" si="17"/>
        <v>1.7904931097838226</v>
      </c>
      <c r="M169" s="8">
        <f t="shared" si="18"/>
        <v>0.83608252487536383</v>
      </c>
      <c r="N169" s="2">
        <v>37</v>
      </c>
      <c r="O169" s="2">
        <v>37</v>
      </c>
      <c r="P169" s="2">
        <v>31</v>
      </c>
      <c r="S169" s="22">
        <f t="shared" si="19"/>
        <v>35</v>
      </c>
      <c r="T169" s="25">
        <f t="shared" si="20"/>
        <v>3.4641016151377544</v>
      </c>
    </row>
    <row r="170" spans="1:20" x14ac:dyDescent="0.2">
      <c r="A170" s="7" t="s">
        <v>16</v>
      </c>
      <c r="B170" s="1">
        <v>5</v>
      </c>
      <c r="C170" s="1">
        <v>22.5</v>
      </c>
      <c r="D170" s="1">
        <v>10</v>
      </c>
      <c r="E170" s="7">
        <v>17.190000000000001</v>
      </c>
      <c r="F170" s="1">
        <v>10</v>
      </c>
      <c r="G170" s="1">
        <v>2</v>
      </c>
      <c r="H170" s="7">
        <v>2</v>
      </c>
      <c r="I170" s="5">
        <f t="shared" si="21"/>
        <v>125.41237873130456</v>
      </c>
      <c r="J170" s="5">
        <f t="shared" si="22"/>
        <v>188.11856809695684</v>
      </c>
      <c r="K170" s="5">
        <f t="shared" si="16"/>
        <v>12.541237873130456</v>
      </c>
      <c r="L170" s="30">
        <f t="shared" si="17"/>
        <v>1.7904931097838226</v>
      </c>
      <c r="M170" s="8">
        <f t="shared" si="18"/>
        <v>1.6721650497507277</v>
      </c>
      <c r="N170" s="2">
        <v>80</v>
      </c>
      <c r="O170" s="2">
        <v>75</v>
      </c>
      <c r="P170" s="2">
        <v>83</v>
      </c>
      <c r="S170" s="22">
        <f t="shared" si="19"/>
        <v>79.333333333333329</v>
      </c>
      <c r="T170" s="25">
        <f t="shared" si="20"/>
        <v>4.0414518843273806</v>
      </c>
    </row>
    <row r="171" spans="1:20" x14ac:dyDescent="0.2">
      <c r="A171" s="7" t="s">
        <v>16</v>
      </c>
      <c r="B171" s="1">
        <v>5</v>
      </c>
      <c r="C171" s="1">
        <v>22.5</v>
      </c>
      <c r="D171" s="1">
        <v>10</v>
      </c>
      <c r="E171" s="7">
        <v>17.190000000000001</v>
      </c>
      <c r="F171" s="1">
        <v>10</v>
      </c>
      <c r="G171" s="1">
        <v>3</v>
      </c>
      <c r="H171" s="7">
        <v>2</v>
      </c>
      <c r="I171" s="5">
        <f t="shared" si="21"/>
        <v>188.11856809695681</v>
      </c>
      <c r="J171" s="5">
        <f t="shared" si="22"/>
        <v>282.17785214543522</v>
      </c>
      <c r="K171" s="5">
        <f t="shared" si="16"/>
        <v>18.81185680969568</v>
      </c>
      <c r="L171" s="30">
        <f t="shared" si="17"/>
        <v>1.7904931097838226</v>
      </c>
      <c r="M171" s="8">
        <f t="shared" si="18"/>
        <v>2.508247574626091</v>
      </c>
      <c r="N171" s="2">
        <v>85</v>
      </c>
      <c r="O171" s="2">
        <v>72</v>
      </c>
      <c r="P171" s="2">
        <v>90</v>
      </c>
      <c r="S171" s="22">
        <f t="shared" si="19"/>
        <v>82.333333333333329</v>
      </c>
      <c r="T171" s="25">
        <f t="shared" si="20"/>
        <v>9.2915732431775702</v>
      </c>
    </row>
    <row r="172" spans="1:20" x14ac:dyDescent="0.2">
      <c r="A172" s="7" t="s">
        <v>16</v>
      </c>
      <c r="B172" s="1">
        <v>5</v>
      </c>
      <c r="C172" s="1">
        <v>22.5</v>
      </c>
      <c r="D172" s="1">
        <v>10</v>
      </c>
      <c r="E172" s="7">
        <v>17.190000000000001</v>
      </c>
      <c r="F172" s="1">
        <v>10</v>
      </c>
      <c r="G172" s="1">
        <v>4</v>
      </c>
      <c r="H172" s="7">
        <v>2</v>
      </c>
      <c r="I172" s="5">
        <f t="shared" si="21"/>
        <v>250.82475746260911</v>
      </c>
      <c r="J172" s="5">
        <f t="shared" si="22"/>
        <v>376.23713619391367</v>
      </c>
      <c r="K172" s="5">
        <f t="shared" si="16"/>
        <v>25.082475746260911</v>
      </c>
      <c r="L172" s="30">
        <f t="shared" si="17"/>
        <v>1.7904931097838226</v>
      </c>
      <c r="M172" s="8">
        <f t="shared" si="18"/>
        <v>3.3443300995014553</v>
      </c>
      <c r="N172" s="2">
        <v>80</v>
      </c>
      <c r="O172" s="2">
        <v>61</v>
      </c>
      <c r="P172" s="2">
        <v>73</v>
      </c>
      <c r="S172" s="22">
        <f t="shared" si="19"/>
        <v>71.333333333333329</v>
      </c>
      <c r="T172" s="25">
        <f t="shared" si="20"/>
        <v>9.6090235369330337</v>
      </c>
    </row>
    <row r="173" spans="1:20" x14ac:dyDescent="0.2">
      <c r="A173" s="7" t="s">
        <v>16</v>
      </c>
      <c r="B173" s="1">
        <v>5</v>
      </c>
      <c r="C173" s="1">
        <v>22.5</v>
      </c>
      <c r="D173" s="1">
        <v>10</v>
      </c>
      <c r="E173" s="7">
        <v>17.190000000000001</v>
      </c>
      <c r="F173" s="1">
        <v>10</v>
      </c>
      <c r="G173" s="1">
        <v>5</v>
      </c>
      <c r="H173" s="7">
        <v>2</v>
      </c>
      <c r="I173" s="5">
        <f t="shared" si="21"/>
        <v>313.53094682826139</v>
      </c>
      <c r="J173" s="5">
        <f t="shared" si="22"/>
        <v>470.29642024239206</v>
      </c>
      <c r="K173" s="5">
        <f t="shared" si="16"/>
        <v>31.353094682826139</v>
      </c>
      <c r="L173" s="30">
        <f t="shared" si="17"/>
        <v>1.7904931097838226</v>
      </c>
      <c r="M173" s="8">
        <f t="shared" si="18"/>
        <v>4.1804126243768192</v>
      </c>
      <c r="N173" s="2">
        <v>75</v>
      </c>
      <c r="O173" s="2">
        <v>43</v>
      </c>
      <c r="P173" s="2">
        <v>36</v>
      </c>
      <c r="S173" s="22">
        <f t="shared" si="19"/>
        <v>51.333333333333336</v>
      </c>
      <c r="T173" s="25">
        <f t="shared" si="20"/>
        <v>20.792626898334262</v>
      </c>
    </row>
    <row r="174" spans="1:20" x14ac:dyDescent="0.2">
      <c r="A174" s="7" t="s">
        <v>16</v>
      </c>
      <c r="B174" s="1">
        <v>5</v>
      </c>
      <c r="C174" s="1">
        <v>22.5</v>
      </c>
      <c r="D174" s="1">
        <v>10</v>
      </c>
      <c r="E174" s="7">
        <v>17.190000000000001</v>
      </c>
      <c r="F174" s="1">
        <v>10</v>
      </c>
      <c r="G174" s="1">
        <v>1</v>
      </c>
      <c r="H174" s="7">
        <v>3</v>
      </c>
      <c r="I174" s="5">
        <f t="shared" si="21"/>
        <v>94.059284048478403</v>
      </c>
      <c r="J174" s="5">
        <f t="shared" si="22"/>
        <v>141.08892607271761</v>
      </c>
      <c r="K174" s="5">
        <f t="shared" si="16"/>
        <v>9.40592840484784</v>
      </c>
      <c r="L174" s="30">
        <f t="shared" si="17"/>
        <v>1.1936620731892151</v>
      </c>
      <c r="M174" s="8">
        <f t="shared" si="18"/>
        <v>1.881185680969568</v>
      </c>
      <c r="N174" s="2">
        <v>50</v>
      </c>
      <c r="O174" s="2">
        <v>57</v>
      </c>
      <c r="P174" s="2">
        <v>52</v>
      </c>
      <c r="S174" s="22">
        <f t="shared" si="19"/>
        <v>53</v>
      </c>
      <c r="T174" s="25">
        <f t="shared" si="20"/>
        <v>3.6055512754639891</v>
      </c>
    </row>
    <row r="175" spans="1:20" x14ac:dyDescent="0.2">
      <c r="A175" s="7" t="s">
        <v>16</v>
      </c>
      <c r="B175" s="1">
        <v>5</v>
      </c>
      <c r="C175" s="1">
        <v>22.5</v>
      </c>
      <c r="D175" s="1">
        <v>10</v>
      </c>
      <c r="E175" s="7">
        <v>17.190000000000001</v>
      </c>
      <c r="F175" s="1">
        <v>10</v>
      </c>
      <c r="G175" s="1">
        <v>2</v>
      </c>
      <c r="H175" s="7">
        <v>3</v>
      </c>
      <c r="I175" s="5">
        <f t="shared" si="21"/>
        <v>188.11856809695681</v>
      </c>
      <c r="J175" s="5">
        <f t="shared" si="22"/>
        <v>282.17785214543522</v>
      </c>
      <c r="K175" s="5">
        <f t="shared" si="16"/>
        <v>18.81185680969568</v>
      </c>
      <c r="L175" s="30">
        <f t="shared" si="17"/>
        <v>1.1936620731892151</v>
      </c>
      <c r="M175" s="8">
        <f t="shared" si="18"/>
        <v>3.7623713619391359</v>
      </c>
      <c r="N175" s="2">
        <v>94</v>
      </c>
      <c r="O175" s="2">
        <v>82</v>
      </c>
      <c r="P175" s="2">
        <v>90</v>
      </c>
      <c r="S175" s="22">
        <f t="shared" si="19"/>
        <v>88.666666666666671</v>
      </c>
      <c r="T175" s="25">
        <f t="shared" si="20"/>
        <v>6.110100926607787</v>
      </c>
    </row>
    <row r="176" spans="1:20" x14ac:dyDescent="0.2">
      <c r="A176" s="7" t="s">
        <v>16</v>
      </c>
      <c r="B176" s="1">
        <v>5</v>
      </c>
      <c r="C176" s="1">
        <v>22.5</v>
      </c>
      <c r="D176" s="1">
        <v>10</v>
      </c>
      <c r="E176" s="7">
        <v>17.190000000000001</v>
      </c>
      <c r="F176" s="1">
        <v>10</v>
      </c>
      <c r="G176" s="1">
        <v>3</v>
      </c>
      <c r="H176" s="7">
        <v>3</v>
      </c>
      <c r="I176" s="5">
        <f t="shared" si="21"/>
        <v>282.17785214543522</v>
      </c>
      <c r="J176" s="5">
        <f t="shared" si="22"/>
        <v>423.26677821815281</v>
      </c>
      <c r="K176" s="5">
        <f t="shared" si="16"/>
        <v>28.217785214543522</v>
      </c>
      <c r="L176" s="30">
        <f t="shared" si="17"/>
        <v>1.1936620731892151</v>
      </c>
      <c r="M176" s="8">
        <f t="shared" si="18"/>
        <v>5.6435570429087045</v>
      </c>
      <c r="N176" s="2">
        <v>72</v>
      </c>
      <c r="O176" s="2">
        <v>40</v>
      </c>
      <c r="P176" s="2">
        <v>84</v>
      </c>
      <c r="S176" s="22">
        <f t="shared" si="19"/>
        <v>65.333333333333329</v>
      </c>
      <c r="T176" s="25">
        <f t="shared" si="20"/>
        <v>22.7449628123093</v>
      </c>
    </row>
    <row r="177" spans="1:20" x14ac:dyDescent="0.2">
      <c r="A177" s="7" t="s">
        <v>16</v>
      </c>
      <c r="B177" s="1">
        <v>5</v>
      </c>
      <c r="C177" s="1">
        <v>22.5</v>
      </c>
      <c r="D177" s="1">
        <v>10</v>
      </c>
      <c r="E177" s="7">
        <v>17.190000000000001</v>
      </c>
      <c r="F177" s="1">
        <v>10</v>
      </c>
      <c r="G177" s="1">
        <v>4</v>
      </c>
      <c r="H177" s="7">
        <v>3</v>
      </c>
      <c r="I177" s="5">
        <f t="shared" si="21"/>
        <v>376.23713619391361</v>
      </c>
      <c r="J177" s="5">
        <f t="shared" si="22"/>
        <v>564.35570429087045</v>
      </c>
      <c r="K177" s="5">
        <f t="shared" si="16"/>
        <v>37.62371361939136</v>
      </c>
      <c r="L177" s="30">
        <f t="shared" si="17"/>
        <v>1.1936620731892151</v>
      </c>
      <c r="M177" s="8">
        <f t="shared" si="18"/>
        <v>7.5247427238782718</v>
      </c>
      <c r="N177" s="2">
        <v>58</v>
      </c>
      <c r="O177" s="2">
        <v>21</v>
      </c>
      <c r="P177" s="2">
        <v>57</v>
      </c>
      <c r="S177" s="22">
        <f t="shared" si="19"/>
        <v>45.333333333333336</v>
      </c>
      <c r="T177" s="25">
        <f t="shared" si="20"/>
        <v>21.079215671683173</v>
      </c>
    </row>
    <row r="178" spans="1:20" x14ac:dyDescent="0.2">
      <c r="A178" s="7" t="s">
        <v>16</v>
      </c>
      <c r="B178" s="1">
        <v>5</v>
      </c>
      <c r="C178" s="1">
        <v>22.5</v>
      </c>
      <c r="D178" s="1">
        <v>10</v>
      </c>
      <c r="E178" s="7">
        <v>17.190000000000001</v>
      </c>
      <c r="F178" s="1">
        <v>10</v>
      </c>
      <c r="G178" s="1">
        <v>5</v>
      </c>
      <c r="H178" s="7">
        <v>3</v>
      </c>
      <c r="I178" s="5">
        <f t="shared" si="21"/>
        <v>470.29642024239212</v>
      </c>
      <c r="J178" s="5">
        <f t="shared" si="22"/>
        <v>705.4446303635882</v>
      </c>
      <c r="K178" s="5">
        <f t="shared" si="16"/>
        <v>47.029642024239209</v>
      </c>
      <c r="L178" s="30">
        <f t="shared" si="17"/>
        <v>1.1936620731892151</v>
      </c>
      <c r="M178" s="8">
        <f t="shared" si="18"/>
        <v>9.4059284048478435</v>
      </c>
      <c r="N178" s="2">
        <v>35</v>
      </c>
      <c r="O178" s="2">
        <v>22</v>
      </c>
      <c r="P178" s="2">
        <v>65</v>
      </c>
      <c r="S178" s="22">
        <f t="shared" si="19"/>
        <v>40.666666666666664</v>
      </c>
      <c r="T178" s="25">
        <f t="shared" si="20"/>
        <v>22.052966542697458</v>
      </c>
    </row>
    <row r="179" spans="1:20" x14ac:dyDescent="0.2">
      <c r="A179" s="7" t="s">
        <v>16</v>
      </c>
      <c r="B179" s="1">
        <v>5</v>
      </c>
      <c r="C179" s="1">
        <v>22.5</v>
      </c>
      <c r="D179" s="1">
        <v>10</v>
      </c>
      <c r="E179" s="7">
        <v>17.190000000000001</v>
      </c>
      <c r="F179" s="1">
        <v>10</v>
      </c>
      <c r="G179" s="1">
        <v>1</v>
      </c>
      <c r="H179" s="7">
        <v>4</v>
      </c>
      <c r="I179" s="5">
        <f t="shared" si="21"/>
        <v>125.41237873130456</v>
      </c>
      <c r="J179" s="5">
        <f t="shared" si="22"/>
        <v>188.11856809695684</v>
      </c>
      <c r="K179" s="5">
        <f t="shared" si="16"/>
        <v>12.541237873130456</v>
      </c>
      <c r="L179" s="30">
        <f t="shared" si="17"/>
        <v>0.89524655489191129</v>
      </c>
      <c r="M179" s="8">
        <f t="shared" si="18"/>
        <v>3.3443300995014553</v>
      </c>
      <c r="N179" s="2">
        <v>70</v>
      </c>
      <c r="O179" s="2">
        <v>68</v>
      </c>
      <c r="P179" s="2">
        <v>69</v>
      </c>
      <c r="S179" s="22">
        <f t="shared" si="19"/>
        <v>69</v>
      </c>
      <c r="T179" s="25">
        <f t="shared" si="20"/>
        <v>1</v>
      </c>
    </row>
    <row r="180" spans="1:20" x14ac:dyDescent="0.2">
      <c r="A180" s="7" t="s">
        <v>16</v>
      </c>
      <c r="B180" s="1">
        <v>5</v>
      </c>
      <c r="C180" s="1">
        <v>22.5</v>
      </c>
      <c r="D180" s="1">
        <v>10</v>
      </c>
      <c r="E180" s="7">
        <v>17.190000000000001</v>
      </c>
      <c r="F180" s="1">
        <v>10</v>
      </c>
      <c r="G180" s="1">
        <v>2</v>
      </c>
      <c r="H180" s="7">
        <v>4</v>
      </c>
      <c r="I180" s="5">
        <f t="shared" si="21"/>
        <v>250.82475746260911</v>
      </c>
      <c r="J180" s="5">
        <f t="shared" si="22"/>
        <v>376.23713619391367</v>
      </c>
      <c r="K180" s="5">
        <f t="shared" si="16"/>
        <v>25.082475746260911</v>
      </c>
      <c r="L180" s="30">
        <f t="shared" si="17"/>
        <v>0.89524655489191129</v>
      </c>
      <c r="M180" s="8">
        <f t="shared" si="18"/>
        <v>6.6886601990029106</v>
      </c>
      <c r="N180" s="2">
        <v>113</v>
      </c>
      <c r="O180" s="2">
        <v>83</v>
      </c>
      <c r="P180" s="2">
        <v>90</v>
      </c>
      <c r="S180" s="22">
        <f t="shared" si="19"/>
        <v>95.333333333333329</v>
      </c>
      <c r="T180" s="25">
        <f t="shared" si="20"/>
        <v>15.69500982265809</v>
      </c>
    </row>
    <row r="181" spans="1:20" x14ac:dyDescent="0.2">
      <c r="A181" s="7" t="s">
        <v>16</v>
      </c>
      <c r="B181" s="1">
        <v>5</v>
      </c>
      <c r="C181" s="1">
        <v>22.5</v>
      </c>
      <c r="D181" s="1">
        <v>10</v>
      </c>
      <c r="E181" s="7">
        <v>17.190000000000001</v>
      </c>
      <c r="F181" s="1">
        <v>10</v>
      </c>
      <c r="G181" s="1">
        <v>3</v>
      </c>
      <c r="H181" s="7">
        <v>4</v>
      </c>
      <c r="I181" s="5">
        <f t="shared" si="21"/>
        <v>376.23713619391361</v>
      </c>
      <c r="J181" s="5">
        <f t="shared" si="22"/>
        <v>564.35570429087045</v>
      </c>
      <c r="K181" s="5">
        <f t="shared" si="16"/>
        <v>37.62371361939136</v>
      </c>
      <c r="L181" s="30">
        <f t="shared" si="17"/>
        <v>0.89524655489191129</v>
      </c>
      <c r="M181" s="8">
        <f t="shared" si="18"/>
        <v>10.032990298504364</v>
      </c>
      <c r="N181" s="2">
        <v>28</v>
      </c>
      <c r="O181" s="2">
        <v>35</v>
      </c>
      <c r="P181" s="2">
        <v>39</v>
      </c>
      <c r="S181" s="22">
        <f t="shared" si="19"/>
        <v>34</v>
      </c>
      <c r="T181" s="25">
        <f t="shared" si="20"/>
        <v>5.5677643628300215</v>
      </c>
    </row>
    <row r="182" spans="1:20" x14ac:dyDescent="0.2">
      <c r="A182" s="7" t="s">
        <v>16</v>
      </c>
      <c r="B182" s="1">
        <v>5</v>
      </c>
      <c r="C182" s="1">
        <v>22.5</v>
      </c>
      <c r="D182" s="1">
        <v>10</v>
      </c>
      <c r="E182" s="7">
        <v>17.190000000000001</v>
      </c>
      <c r="F182" s="1">
        <v>10</v>
      </c>
      <c r="G182" s="1">
        <v>4</v>
      </c>
      <c r="H182" s="7">
        <v>4</v>
      </c>
      <c r="I182" s="5">
        <f t="shared" si="21"/>
        <v>501.64951492521823</v>
      </c>
      <c r="J182" s="5">
        <f t="shared" si="22"/>
        <v>752.47427238782734</v>
      </c>
      <c r="K182" s="5">
        <f t="shared" si="16"/>
        <v>50.164951492521823</v>
      </c>
      <c r="L182" s="30">
        <f t="shared" si="17"/>
        <v>0.89524655489191129</v>
      </c>
      <c r="M182" s="8">
        <f t="shared" si="18"/>
        <v>13.377320398005821</v>
      </c>
      <c r="N182" s="2">
        <v>24</v>
      </c>
      <c r="O182" s="2">
        <v>7</v>
      </c>
      <c r="P182" s="2">
        <v>15</v>
      </c>
      <c r="S182" s="22">
        <f t="shared" si="19"/>
        <v>15.333333333333334</v>
      </c>
      <c r="T182" s="25">
        <f t="shared" si="20"/>
        <v>8.5049005481153817</v>
      </c>
    </row>
    <row r="183" spans="1:20" x14ac:dyDescent="0.2">
      <c r="A183" s="7" t="s">
        <v>16</v>
      </c>
      <c r="B183" s="1">
        <v>5</v>
      </c>
      <c r="C183" s="1">
        <v>22.5</v>
      </c>
      <c r="D183" s="1">
        <v>10</v>
      </c>
      <c r="E183" s="7">
        <v>17.190000000000001</v>
      </c>
      <c r="F183" s="1">
        <v>10</v>
      </c>
      <c r="G183" s="1">
        <v>5</v>
      </c>
      <c r="H183" s="7">
        <v>4</v>
      </c>
      <c r="I183" s="5">
        <f t="shared" si="21"/>
        <v>627.06189365652278</v>
      </c>
      <c r="J183" s="5">
        <f t="shared" si="22"/>
        <v>940.59284048478412</v>
      </c>
      <c r="K183" s="5">
        <f t="shared" si="16"/>
        <v>62.706189365652278</v>
      </c>
      <c r="L183" s="30">
        <f t="shared" si="17"/>
        <v>0.89524655489191129</v>
      </c>
      <c r="M183" s="8">
        <f t="shared" si="18"/>
        <v>16.721650497507277</v>
      </c>
      <c r="N183" s="2">
        <v>20</v>
      </c>
      <c r="O183" s="2">
        <v>13</v>
      </c>
      <c r="P183" s="2">
        <v>8</v>
      </c>
      <c r="S183" s="22">
        <f t="shared" si="19"/>
        <v>13.666666666666666</v>
      </c>
      <c r="T183" s="25">
        <f t="shared" si="20"/>
        <v>6.0277137733417065</v>
      </c>
    </row>
    <row r="184" spans="1:20" x14ac:dyDescent="0.2">
      <c r="A184" s="7" t="s">
        <v>16</v>
      </c>
      <c r="B184" s="1">
        <v>5</v>
      </c>
      <c r="C184" s="1">
        <v>22.5</v>
      </c>
      <c r="D184" s="1">
        <v>10</v>
      </c>
      <c r="E184" s="7">
        <v>17.190000000000001</v>
      </c>
      <c r="F184" s="1">
        <v>10</v>
      </c>
      <c r="G184" s="1">
        <v>1</v>
      </c>
      <c r="H184" s="7">
        <v>8</v>
      </c>
      <c r="I184" s="5">
        <f t="shared" si="21"/>
        <v>250.82475746260911</v>
      </c>
      <c r="J184" s="5">
        <f t="shared" si="22"/>
        <v>376.23713619391367</v>
      </c>
      <c r="K184" s="5">
        <f t="shared" si="16"/>
        <v>25.082475746260911</v>
      </c>
      <c r="L184" s="30">
        <f t="shared" si="17"/>
        <v>0.44762327744595565</v>
      </c>
      <c r="M184" s="8">
        <f t="shared" si="18"/>
        <v>13.377320398005821</v>
      </c>
      <c r="N184" s="2">
        <v>13</v>
      </c>
      <c r="O184" s="2">
        <v>15</v>
      </c>
      <c r="S184" s="22">
        <f t="shared" si="19"/>
        <v>14</v>
      </c>
      <c r="T184" s="25">
        <f t="shared" si="20"/>
        <v>1.4142135623730951</v>
      </c>
    </row>
    <row r="185" spans="1:20" x14ac:dyDescent="0.2">
      <c r="A185" s="7" t="s">
        <v>16</v>
      </c>
      <c r="B185" s="1">
        <v>5</v>
      </c>
      <c r="C185" s="1">
        <v>22.5</v>
      </c>
      <c r="D185" s="1">
        <v>10</v>
      </c>
      <c r="E185" s="7">
        <v>17.190000000000001</v>
      </c>
      <c r="F185" s="1">
        <v>10</v>
      </c>
      <c r="G185" s="1">
        <v>2</v>
      </c>
      <c r="H185" s="7">
        <v>8</v>
      </c>
      <c r="I185" s="5">
        <f t="shared" si="21"/>
        <v>501.64951492521823</v>
      </c>
      <c r="J185" s="5">
        <f t="shared" si="22"/>
        <v>752.47427238782734</v>
      </c>
      <c r="K185" s="5">
        <f t="shared" si="16"/>
        <v>50.164951492521823</v>
      </c>
      <c r="L185" s="30">
        <f t="shared" si="17"/>
        <v>0.44762327744595565</v>
      </c>
      <c r="M185" s="8">
        <f t="shared" si="18"/>
        <v>26.754640796011643</v>
      </c>
      <c r="N185" s="2">
        <v>9</v>
      </c>
      <c r="O185" s="2">
        <v>9</v>
      </c>
      <c r="S185" s="22">
        <f t="shared" si="19"/>
        <v>9</v>
      </c>
      <c r="T185" s="25">
        <f t="shared" si="20"/>
        <v>0</v>
      </c>
    </row>
    <row r="186" spans="1:20" x14ac:dyDescent="0.2">
      <c r="A186" s="7" t="s">
        <v>16</v>
      </c>
      <c r="B186" s="1">
        <v>5</v>
      </c>
      <c r="C186" s="1">
        <v>22.5</v>
      </c>
      <c r="D186" s="1">
        <v>10</v>
      </c>
      <c r="E186" s="7">
        <v>17.190000000000001</v>
      </c>
      <c r="F186" s="1">
        <v>10</v>
      </c>
      <c r="G186" s="1">
        <v>3</v>
      </c>
      <c r="H186" s="7">
        <v>8</v>
      </c>
      <c r="I186" s="5">
        <f t="shared" si="21"/>
        <v>752.47427238782723</v>
      </c>
      <c r="J186" s="5">
        <f t="shared" si="22"/>
        <v>1128.7114085817409</v>
      </c>
      <c r="K186" s="5">
        <f t="shared" si="16"/>
        <v>75.24742723878272</v>
      </c>
      <c r="L186" s="30">
        <f t="shared" si="17"/>
        <v>0.44762327744595565</v>
      </c>
      <c r="M186" s="8">
        <f t="shared" si="18"/>
        <v>40.131961194017457</v>
      </c>
      <c r="N186" s="2">
        <v>6</v>
      </c>
      <c r="O186" s="2">
        <v>7</v>
      </c>
      <c r="S186" s="22">
        <f t="shared" si="19"/>
        <v>6.5</v>
      </c>
      <c r="T186" s="25">
        <f t="shared" si="20"/>
        <v>0.70710678118654757</v>
      </c>
    </row>
    <row r="187" spans="1:20" x14ac:dyDescent="0.2">
      <c r="A187" s="7" t="s">
        <v>16</v>
      </c>
      <c r="B187" s="1">
        <v>5</v>
      </c>
      <c r="C187" s="1">
        <v>22.5</v>
      </c>
      <c r="D187" s="1">
        <v>10</v>
      </c>
      <c r="E187" s="7">
        <v>17.190000000000001</v>
      </c>
      <c r="F187" s="1">
        <v>10</v>
      </c>
      <c r="G187" s="1">
        <v>4</v>
      </c>
      <c r="H187" s="7">
        <v>8</v>
      </c>
      <c r="I187" s="5">
        <f t="shared" si="21"/>
        <v>1003.2990298504365</v>
      </c>
      <c r="J187" s="5">
        <f t="shared" si="22"/>
        <v>1504.9485447756547</v>
      </c>
      <c r="K187" s="5">
        <f t="shared" si="16"/>
        <v>100.32990298504365</v>
      </c>
      <c r="L187" s="30">
        <f t="shared" si="17"/>
        <v>0.44762327744595565</v>
      </c>
      <c r="M187" s="8">
        <f t="shared" si="18"/>
        <v>53.509281592023285</v>
      </c>
      <c r="N187" s="2">
        <v>6</v>
      </c>
      <c r="O187" s="2">
        <v>7</v>
      </c>
      <c r="S187" s="22">
        <f t="shared" si="19"/>
        <v>6.5</v>
      </c>
      <c r="T187" s="25">
        <f t="shared" si="20"/>
        <v>0.70710678118654757</v>
      </c>
    </row>
    <row r="188" spans="1:20" x14ac:dyDescent="0.2">
      <c r="A188" s="7" t="s">
        <v>16</v>
      </c>
      <c r="B188" s="1">
        <v>5</v>
      </c>
      <c r="C188" s="1">
        <v>22.5</v>
      </c>
      <c r="D188" s="1">
        <v>10</v>
      </c>
      <c r="E188" s="7">
        <v>17.190000000000001</v>
      </c>
      <c r="F188" s="1">
        <v>50</v>
      </c>
      <c r="G188" s="1">
        <v>0</v>
      </c>
      <c r="H188" s="7">
        <v>0</v>
      </c>
      <c r="I188" s="5">
        <f t="shared" si="21"/>
        <v>0</v>
      </c>
      <c r="J188" s="5">
        <f t="shared" si="22"/>
        <v>0</v>
      </c>
      <c r="K188" s="5">
        <f t="shared" si="16"/>
        <v>0</v>
      </c>
      <c r="L188" s="30" t="e">
        <f t="shared" si="17"/>
        <v>#DIV/0!</v>
      </c>
      <c r="M188" s="8">
        <f t="shared" si="18"/>
        <v>0</v>
      </c>
      <c r="N188" s="2">
        <v>10</v>
      </c>
      <c r="O188" s="2">
        <v>12</v>
      </c>
      <c r="P188" s="2">
        <v>18</v>
      </c>
      <c r="S188" s="22">
        <f t="shared" si="19"/>
        <v>13.333333333333334</v>
      </c>
      <c r="T188" s="25">
        <f t="shared" si="20"/>
        <v>4.1633319989322635</v>
      </c>
    </row>
    <row r="189" spans="1:20" x14ac:dyDescent="0.2">
      <c r="A189" s="7" t="s">
        <v>16</v>
      </c>
      <c r="B189" s="1">
        <v>5</v>
      </c>
      <c r="C189" s="1">
        <v>22.5</v>
      </c>
      <c r="D189" s="1">
        <v>10</v>
      </c>
      <c r="E189" s="7">
        <v>17.190000000000001</v>
      </c>
      <c r="F189" s="1">
        <v>50</v>
      </c>
      <c r="G189" s="1">
        <v>1</v>
      </c>
      <c r="H189" s="7">
        <v>1</v>
      </c>
      <c r="I189" s="5">
        <f t="shared" si="21"/>
        <v>31.353094682826139</v>
      </c>
      <c r="J189" s="5">
        <f t="shared" si="22"/>
        <v>47.029642024239209</v>
      </c>
      <c r="K189" s="5">
        <f t="shared" si="16"/>
        <v>0.62706189365652276</v>
      </c>
      <c r="L189" s="30">
        <f t="shared" si="17"/>
        <v>3.5809862195676452</v>
      </c>
      <c r="M189" s="8">
        <f t="shared" si="18"/>
        <v>4.180412624376819E-2</v>
      </c>
      <c r="N189" s="2">
        <v>12</v>
      </c>
      <c r="O189" s="2">
        <v>18</v>
      </c>
      <c r="P189" s="2">
        <v>15</v>
      </c>
      <c r="S189" s="22">
        <f t="shared" si="19"/>
        <v>15</v>
      </c>
      <c r="T189" s="25">
        <f t="shared" si="20"/>
        <v>3</v>
      </c>
    </row>
    <row r="190" spans="1:20" x14ac:dyDescent="0.2">
      <c r="A190" s="7" t="s">
        <v>16</v>
      </c>
      <c r="B190" s="1">
        <v>5</v>
      </c>
      <c r="C190" s="1">
        <v>22.5</v>
      </c>
      <c r="D190" s="1">
        <v>10</v>
      </c>
      <c r="E190" s="7">
        <v>17.190000000000001</v>
      </c>
      <c r="F190" s="1">
        <v>50</v>
      </c>
      <c r="G190" s="1">
        <v>2</v>
      </c>
      <c r="H190" s="7">
        <v>1</v>
      </c>
      <c r="I190" s="5">
        <f t="shared" si="21"/>
        <v>62.706189365652278</v>
      </c>
      <c r="J190" s="5">
        <f t="shared" si="22"/>
        <v>94.059284048478418</v>
      </c>
      <c r="K190" s="5">
        <f t="shared" si="16"/>
        <v>1.2541237873130455</v>
      </c>
      <c r="L190" s="30">
        <f t="shared" si="17"/>
        <v>3.5809862195676452</v>
      </c>
      <c r="M190" s="8">
        <f t="shared" si="18"/>
        <v>8.360825248753638E-2</v>
      </c>
      <c r="N190" s="2">
        <v>29</v>
      </c>
      <c r="O190" s="2">
        <v>3</v>
      </c>
      <c r="P190" s="2">
        <v>18</v>
      </c>
      <c r="S190" s="22">
        <f t="shared" si="19"/>
        <v>16.666666666666668</v>
      </c>
      <c r="T190" s="25">
        <f t="shared" si="20"/>
        <v>13.051181300301261</v>
      </c>
    </row>
    <row r="191" spans="1:20" x14ac:dyDescent="0.2">
      <c r="A191" s="7" t="s">
        <v>16</v>
      </c>
      <c r="B191" s="1">
        <v>5</v>
      </c>
      <c r="C191" s="1">
        <v>22.5</v>
      </c>
      <c r="D191" s="1">
        <v>10</v>
      </c>
      <c r="E191" s="7">
        <v>17.190000000000001</v>
      </c>
      <c r="F191" s="1">
        <v>50</v>
      </c>
      <c r="G191" s="1">
        <v>3</v>
      </c>
      <c r="H191" s="7">
        <v>1</v>
      </c>
      <c r="I191" s="5">
        <f t="shared" si="21"/>
        <v>94.059284048478403</v>
      </c>
      <c r="J191" s="5">
        <f t="shared" si="22"/>
        <v>141.08892607271761</v>
      </c>
      <c r="K191" s="5">
        <f t="shared" si="16"/>
        <v>1.8811856809695682</v>
      </c>
      <c r="L191" s="30">
        <f t="shared" si="17"/>
        <v>3.5809862195676452</v>
      </c>
      <c r="M191" s="8">
        <f t="shared" si="18"/>
        <v>0.12541237873130456</v>
      </c>
      <c r="N191" s="2">
        <v>12</v>
      </c>
      <c r="O191" s="2">
        <v>20</v>
      </c>
      <c r="P191" s="2">
        <v>20</v>
      </c>
      <c r="S191" s="22">
        <f t="shared" si="19"/>
        <v>17.333333333333332</v>
      </c>
      <c r="T191" s="25">
        <f t="shared" si="20"/>
        <v>4.6188021535170041</v>
      </c>
    </row>
    <row r="192" spans="1:20" x14ac:dyDescent="0.2">
      <c r="A192" s="7" t="s">
        <v>16</v>
      </c>
      <c r="B192" s="1">
        <v>5</v>
      </c>
      <c r="C192" s="1">
        <v>22.5</v>
      </c>
      <c r="D192" s="1">
        <v>10</v>
      </c>
      <c r="E192" s="7">
        <v>17.190000000000001</v>
      </c>
      <c r="F192" s="1">
        <v>50</v>
      </c>
      <c r="G192" s="1">
        <v>4</v>
      </c>
      <c r="H192" s="7">
        <v>1</v>
      </c>
      <c r="I192" s="5">
        <f t="shared" si="21"/>
        <v>125.41237873130456</v>
      </c>
      <c r="J192" s="5">
        <f t="shared" si="22"/>
        <v>188.11856809695684</v>
      </c>
      <c r="K192" s="5">
        <f t="shared" si="16"/>
        <v>2.508247574626091</v>
      </c>
      <c r="L192" s="30">
        <f t="shared" si="17"/>
        <v>3.5809862195676452</v>
      </c>
      <c r="M192" s="8">
        <f t="shared" si="18"/>
        <v>0.16721650497507276</v>
      </c>
      <c r="N192" s="2">
        <v>20</v>
      </c>
      <c r="O192" s="2">
        <v>10</v>
      </c>
      <c r="P192" s="2">
        <v>15</v>
      </c>
      <c r="S192" s="22">
        <f t="shared" si="19"/>
        <v>15</v>
      </c>
      <c r="T192" s="25">
        <f t="shared" si="20"/>
        <v>5</v>
      </c>
    </row>
    <row r="193" spans="1:20" x14ac:dyDescent="0.2">
      <c r="A193" s="7" t="s">
        <v>16</v>
      </c>
      <c r="B193" s="1">
        <v>5</v>
      </c>
      <c r="C193" s="1">
        <v>22.5</v>
      </c>
      <c r="D193" s="1">
        <v>10</v>
      </c>
      <c r="E193" s="7">
        <v>17.190000000000001</v>
      </c>
      <c r="F193" s="1">
        <v>50</v>
      </c>
      <c r="G193" s="1">
        <v>5</v>
      </c>
      <c r="H193" s="7">
        <v>1</v>
      </c>
      <c r="I193" s="5">
        <f t="shared" si="21"/>
        <v>156.7654734141307</v>
      </c>
      <c r="J193" s="5">
        <f t="shared" si="22"/>
        <v>235.14821012119603</v>
      </c>
      <c r="K193" s="5">
        <f t="shared" si="16"/>
        <v>3.1353094682826139</v>
      </c>
      <c r="L193" s="30">
        <f t="shared" si="17"/>
        <v>3.5809862195676452</v>
      </c>
      <c r="M193" s="8">
        <f t="shared" si="18"/>
        <v>0.20902063121884093</v>
      </c>
      <c r="N193" s="2">
        <v>10</v>
      </c>
      <c r="O193" s="2">
        <v>16</v>
      </c>
      <c r="S193" s="22">
        <f t="shared" si="19"/>
        <v>13</v>
      </c>
      <c r="T193" s="25">
        <f t="shared" si="20"/>
        <v>4.2426406871192848</v>
      </c>
    </row>
    <row r="194" spans="1:20" x14ac:dyDescent="0.2">
      <c r="A194" s="7" t="s">
        <v>16</v>
      </c>
      <c r="B194" s="1">
        <v>5</v>
      </c>
      <c r="C194" s="1">
        <v>22.5</v>
      </c>
      <c r="D194" s="1">
        <v>10</v>
      </c>
      <c r="E194" s="7">
        <v>17.190000000000001</v>
      </c>
      <c r="F194" s="1">
        <v>50</v>
      </c>
      <c r="G194" s="1">
        <v>1</v>
      </c>
      <c r="H194" s="7">
        <v>2</v>
      </c>
      <c r="I194" s="5">
        <f t="shared" si="21"/>
        <v>62.706189365652278</v>
      </c>
      <c r="J194" s="5">
        <f t="shared" si="22"/>
        <v>94.059284048478418</v>
      </c>
      <c r="K194" s="5">
        <f t="shared" si="16"/>
        <v>1.2541237873130455</v>
      </c>
      <c r="L194" s="30">
        <f t="shared" si="17"/>
        <v>1.7904931097838226</v>
      </c>
      <c r="M194" s="8">
        <f t="shared" si="18"/>
        <v>0.16721650497507276</v>
      </c>
      <c r="N194" s="2">
        <v>23</v>
      </c>
      <c r="O194" s="2">
        <v>21</v>
      </c>
      <c r="P194" s="2">
        <v>20</v>
      </c>
      <c r="S194" s="22">
        <f t="shared" si="19"/>
        <v>21.333333333333332</v>
      </c>
      <c r="T194" s="25">
        <f t="shared" si="20"/>
        <v>1.5275252316519465</v>
      </c>
    </row>
    <row r="195" spans="1:20" x14ac:dyDescent="0.2">
      <c r="A195" s="7" t="s">
        <v>16</v>
      </c>
      <c r="B195" s="1">
        <v>5</v>
      </c>
      <c r="C195" s="1">
        <v>22.5</v>
      </c>
      <c r="D195" s="1">
        <v>10</v>
      </c>
      <c r="E195" s="7">
        <v>17.190000000000001</v>
      </c>
      <c r="F195" s="1">
        <v>50</v>
      </c>
      <c r="G195" s="1">
        <v>2</v>
      </c>
      <c r="H195" s="7">
        <v>2</v>
      </c>
      <c r="I195" s="5">
        <f t="shared" si="21"/>
        <v>125.41237873130456</v>
      </c>
      <c r="J195" s="5">
        <f t="shared" si="22"/>
        <v>188.11856809695684</v>
      </c>
      <c r="K195" s="5">
        <f t="shared" si="16"/>
        <v>2.508247574626091</v>
      </c>
      <c r="L195" s="30">
        <f t="shared" si="17"/>
        <v>1.7904931097838226</v>
      </c>
      <c r="M195" s="8">
        <f t="shared" si="18"/>
        <v>0.33443300995014552</v>
      </c>
      <c r="N195" s="2">
        <v>42</v>
      </c>
      <c r="O195" s="2">
        <v>37</v>
      </c>
      <c r="P195" s="2">
        <v>41</v>
      </c>
      <c r="S195" s="22">
        <f t="shared" si="19"/>
        <v>40</v>
      </c>
      <c r="T195" s="25">
        <f t="shared" si="20"/>
        <v>2.6457513110645907</v>
      </c>
    </row>
    <row r="196" spans="1:20" x14ac:dyDescent="0.2">
      <c r="A196" s="7" t="s">
        <v>16</v>
      </c>
      <c r="B196" s="1">
        <v>5</v>
      </c>
      <c r="C196" s="1">
        <v>22.5</v>
      </c>
      <c r="D196" s="1">
        <v>10</v>
      </c>
      <c r="E196" s="7">
        <v>17.190000000000001</v>
      </c>
      <c r="F196" s="1">
        <v>50</v>
      </c>
      <c r="G196" s="1">
        <v>3</v>
      </c>
      <c r="H196" s="7">
        <v>2</v>
      </c>
      <c r="I196" s="5">
        <f t="shared" si="21"/>
        <v>188.11856809695681</v>
      </c>
      <c r="J196" s="5">
        <f t="shared" si="22"/>
        <v>282.17785214543522</v>
      </c>
      <c r="K196" s="5">
        <f t="shared" ref="K196:K259" si="23">I196/F196</f>
        <v>3.7623713619391363</v>
      </c>
      <c r="L196" s="30">
        <f t="shared" ref="L196:L259" si="24">(C196/(2*PI()*H196))</f>
        <v>1.7904931097838226</v>
      </c>
      <c r="M196" s="8">
        <f t="shared" ref="M196:M259" si="25">((J196*(H196/C196))/F196)</f>
        <v>0.50164951492521825</v>
      </c>
      <c r="N196" s="2">
        <v>38</v>
      </c>
      <c r="O196" s="2">
        <v>37</v>
      </c>
      <c r="P196" s="2">
        <v>42</v>
      </c>
      <c r="S196" s="22">
        <f t="shared" ref="S196:S259" si="26">AVERAGE(N196:R196)</f>
        <v>39</v>
      </c>
      <c r="T196" s="25">
        <f t="shared" ref="T196:T259" si="27">STDEV(N196:R196)</f>
        <v>2.6457513110645907</v>
      </c>
    </row>
    <row r="197" spans="1:20" x14ac:dyDescent="0.2">
      <c r="A197" s="7" t="s">
        <v>16</v>
      </c>
      <c r="B197" s="1">
        <v>5</v>
      </c>
      <c r="C197" s="1">
        <v>22.5</v>
      </c>
      <c r="D197" s="1">
        <v>10</v>
      </c>
      <c r="E197" s="7">
        <v>17.190000000000001</v>
      </c>
      <c r="F197" s="1">
        <v>50</v>
      </c>
      <c r="G197" s="1">
        <v>4</v>
      </c>
      <c r="H197" s="7">
        <v>2</v>
      </c>
      <c r="I197" s="5">
        <f t="shared" si="21"/>
        <v>250.82475746260911</v>
      </c>
      <c r="J197" s="5">
        <f t="shared" si="22"/>
        <v>376.23713619391367</v>
      </c>
      <c r="K197" s="5">
        <f t="shared" si="23"/>
        <v>5.0164951492521821</v>
      </c>
      <c r="L197" s="30">
        <f t="shared" si="24"/>
        <v>1.7904931097838226</v>
      </c>
      <c r="M197" s="8">
        <f t="shared" si="25"/>
        <v>0.66886601990029104</v>
      </c>
      <c r="N197" s="2">
        <v>81</v>
      </c>
      <c r="O197" s="2">
        <v>64</v>
      </c>
      <c r="P197" s="2">
        <v>64</v>
      </c>
      <c r="S197" s="22">
        <f t="shared" si="26"/>
        <v>69.666666666666671</v>
      </c>
      <c r="T197" s="25">
        <f t="shared" si="27"/>
        <v>9.8149545762236219</v>
      </c>
    </row>
    <row r="198" spans="1:20" x14ac:dyDescent="0.2">
      <c r="A198" s="7" t="s">
        <v>16</v>
      </c>
      <c r="B198" s="1">
        <v>5</v>
      </c>
      <c r="C198" s="1">
        <v>22.5</v>
      </c>
      <c r="D198" s="1">
        <v>10</v>
      </c>
      <c r="E198" s="7">
        <v>17.190000000000001</v>
      </c>
      <c r="F198" s="1">
        <v>50</v>
      </c>
      <c r="G198" s="1">
        <v>5</v>
      </c>
      <c r="H198" s="7">
        <v>2</v>
      </c>
      <c r="I198" s="5">
        <f t="shared" si="21"/>
        <v>313.53094682826139</v>
      </c>
      <c r="J198" s="5">
        <f t="shared" si="22"/>
        <v>470.29642024239206</v>
      </c>
      <c r="K198" s="5">
        <f t="shared" si="23"/>
        <v>6.2706189365652278</v>
      </c>
      <c r="L198" s="30">
        <f t="shared" si="24"/>
        <v>1.7904931097838226</v>
      </c>
      <c r="M198" s="8">
        <f t="shared" si="25"/>
        <v>0.83608252487536372</v>
      </c>
      <c r="N198" s="2">
        <v>87</v>
      </c>
      <c r="O198" s="2">
        <v>70</v>
      </c>
      <c r="P198" s="2">
        <v>93</v>
      </c>
      <c r="S198" s="22">
        <f t="shared" si="26"/>
        <v>83.333333333333329</v>
      </c>
      <c r="T198" s="25">
        <f t="shared" si="27"/>
        <v>11.93035344544888</v>
      </c>
    </row>
    <row r="199" spans="1:20" x14ac:dyDescent="0.2">
      <c r="A199" s="7" t="s">
        <v>16</v>
      </c>
      <c r="B199" s="1">
        <v>5</v>
      </c>
      <c r="C199" s="1">
        <v>22.5</v>
      </c>
      <c r="D199" s="1">
        <v>10</v>
      </c>
      <c r="E199" s="7">
        <v>17.190000000000001</v>
      </c>
      <c r="F199" s="1">
        <v>50</v>
      </c>
      <c r="G199" s="1">
        <v>6</v>
      </c>
      <c r="H199" s="7">
        <v>2</v>
      </c>
      <c r="I199" s="5">
        <f t="shared" si="21"/>
        <v>376.23713619391361</v>
      </c>
      <c r="J199" s="5">
        <f t="shared" si="22"/>
        <v>564.35570429087045</v>
      </c>
      <c r="K199" s="5">
        <f t="shared" si="23"/>
        <v>7.5247427238782727</v>
      </c>
      <c r="L199" s="30">
        <f t="shared" si="24"/>
        <v>1.7904931097838226</v>
      </c>
      <c r="M199" s="8">
        <f t="shared" si="25"/>
        <v>1.0032990298504365</v>
      </c>
      <c r="N199" s="2">
        <v>55</v>
      </c>
      <c r="O199" s="2">
        <v>73</v>
      </c>
      <c r="P199" s="2">
        <v>69</v>
      </c>
      <c r="S199" s="22">
        <f t="shared" si="26"/>
        <v>65.666666666666671</v>
      </c>
      <c r="T199" s="25">
        <f t="shared" si="27"/>
        <v>9.4516312525052015</v>
      </c>
    </row>
    <row r="200" spans="1:20" x14ac:dyDescent="0.2">
      <c r="A200" s="7" t="s">
        <v>16</v>
      </c>
      <c r="B200" s="1">
        <v>5</v>
      </c>
      <c r="C200" s="1">
        <v>22.5</v>
      </c>
      <c r="D200" s="1">
        <v>10</v>
      </c>
      <c r="E200" s="7">
        <v>17.190000000000001</v>
      </c>
      <c r="F200" s="1">
        <v>50</v>
      </c>
      <c r="G200" s="1">
        <v>7</v>
      </c>
      <c r="H200" s="7">
        <v>2</v>
      </c>
      <c r="I200" s="5">
        <f t="shared" si="21"/>
        <v>438.94332555956589</v>
      </c>
      <c r="J200" s="5">
        <f t="shared" si="22"/>
        <v>658.41498833934884</v>
      </c>
      <c r="K200" s="5">
        <f t="shared" si="23"/>
        <v>8.7788665111913176</v>
      </c>
      <c r="L200" s="30">
        <f t="shared" si="24"/>
        <v>1.7904931097838226</v>
      </c>
      <c r="M200" s="8">
        <f t="shared" si="25"/>
        <v>1.1705155348255092</v>
      </c>
      <c r="N200" s="2">
        <v>40</v>
      </c>
      <c r="O200" s="2">
        <v>29</v>
      </c>
      <c r="P200" s="2">
        <v>39</v>
      </c>
      <c r="S200" s="22">
        <f t="shared" si="26"/>
        <v>36</v>
      </c>
      <c r="T200" s="25">
        <f t="shared" si="27"/>
        <v>6.0827625302982193</v>
      </c>
    </row>
    <row r="201" spans="1:20" x14ac:dyDescent="0.2">
      <c r="A201" s="7" t="s">
        <v>16</v>
      </c>
      <c r="B201" s="1">
        <v>5</v>
      </c>
      <c r="C201" s="1">
        <v>22.5</v>
      </c>
      <c r="D201" s="1">
        <v>10</v>
      </c>
      <c r="E201" s="7">
        <v>17.190000000000001</v>
      </c>
      <c r="F201" s="1">
        <v>50</v>
      </c>
      <c r="G201" s="1">
        <v>1</v>
      </c>
      <c r="H201" s="7">
        <v>3</v>
      </c>
      <c r="I201" s="5">
        <f t="shared" si="21"/>
        <v>94.059284048478403</v>
      </c>
      <c r="J201" s="5">
        <f t="shared" si="22"/>
        <v>141.08892607271761</v>
      </c>
      <c r="K201" s="5">
        <f t="shared" si="23"/>
        <v>1.8811856809695682</v>
      </c>
      <c r="L201" s="30">
        <f t="shared" si="24"/>
        <v>1.1936620731892151</v>
      </c>
      <c r="M201" s="8">
        <f t="shared" si="25"/>
        <v>0.37623713619391358</v>
      </c>
      <c r="N201" s="2">
        <v>30</v>
      </c>
      <c r="O201" s="2">
        <v>24</v>
      </c>
      <c r="P201" s="2">
        <v>24</v>
      </c>
      <c r="S201" s="22">
        <f t="shared" si="26"/>
        <v>26</v>
      </c>
      <c r="T201" s="25">
        <f t="shared" si="27"/>
        <v>3.4641016151377544</v>
      </c>
    </row>
    <row r="202" spans="1:20" x14ac:dyDescent="0.2">
      <c r="A202" s="7" t="s">
        <v>16</v>
      </c>
      <c r="B202" s="1">
        <v>5</v>
      </c>
      <c r="C202" s="1">
        <v>22.5</v>
      </c>
      <c r="D202" s="1">
        <v>10</v>
      </c>
      <c r="E202" s="7">
        <v>17.190000000000001</v>
      </c>
      <c r="F202" s="1">
        <v>50</v>
      </c>
      <c r="G202" s="1">
        <v>2</v>
      </c>
      <c r="H202" s="7">
        <v>3</v>
      </c>
      <c r="I202" s="5">
        <f t="shared" si="21"/>
        <v>188.11856809695681</v>
      </c>
      <c r="J202" s="5">
        <f t="shared" si="22"/>
        <v>282.17785214543522</v>
      </c>
      <c r="K202" s="5">
        <f t="shared" si="23"/>
        <v>3.7623713619391363</v>
      </c>
      <c r="L202" s="30">
        <f t="shared" si="24"/>
        <v>1.1936620731892151</v>
      </c>
      <c r="M202" s="8">
        <f t="shared" si="25"/>
        <v>0.75247427238782716</v>
      </c>
      <c r="N202" s="2">
        <v>76</v>
      </c>
      <c r="O202" s="2">
        <v>58</v>
      </c>
      <c r="P202" s="2">
        <v>53</v>
      </c>
      <c r="S202" s="22">
        <f t="shared" si="26"/>
        <v>62.333333333333336</v>
      </c>
      <c r="T202" s="25">
        <f t="shared" si="27"/>
        <v>12.096831541082691</v>
      </c>
    </row>
    <row r="203" spans="1:20" x14ac:dyDescent="0.2">
      <c r="A203" s="7" t="s">
        <v>16</v>
      </c>
      <c r="B203" s="1">
        <v>5</v>
      </c>
      <c r="C203" s="1">
        <v>22.5</v>
      </c>
      <c r="D203" s="1">
        <v>10</v>
      </c>
      <c r="E203" s="7">
        <v>17.190000000000001</v>
      </c>
      <c r="F203" s="1">
        <v>50</v>
      </c>
      <c r="G203" s="1">
        <v>3</v>
      </c>
      <c r="H203" s="7">
        <v>3</v>
      </c>
      <c r="I203" s="5">
        <f t="shared" si="21"/>
        <v>282.17785214543522</v>
      </c>
      <c r="J203" s="5">
        <f t="shared" si="22"/>
        <v>423.26677821815281</v>
      </c>
      <c r="K203" s="5">
        <f t="shared" si="23"/>
        <v>5.6435570429087045</v>
      </c>
      <c r="L203" s="30">
        <f t="shared" si="24"/>
        <v>1.1936620731892151</v>
      </c>
      <c r="M203" s="8">
        <f t="shared" si="25"/>
        <v>1.1287114085817409</v>
      </c>
      <c r="N203" s="2">
        <v>89</v>
      </c>
      <c r="O203" s="2">
        <v>80</v>
      </c>
      <c r="P203" s="2">
        <v>81</v>
      </c>
      <c r="S203" s="22">
        <f t="shared" si="26"/>
        <v>83.333333333333329</v>
      </c>
      <c r="T203" s="25">
        <f t="shared" si="27"/>
        <v>4.9328828623162471</v>
      </c>
    </row>
    <row r="204" spans="1:20" x14ac:dyDescent="0.2">
      <c r="A204" s="7" t="s">
        <v>16</v>
      </c>
      <c r="B204" s="1">
        <v>5</v>
      </c>
      <c r="C204" s="1">
        <v>22.5</v>
      </c>
      <c r="D204" s="1">
        <v>10</v>
      </c>
      <c r="E204" s="7">
        <v>17.190000000000001</v>
      </c>
      <c r="F204" s="1">
        <v>50</v>
      </c>
      <c r="G204" s="1">
        <v>4</v>
      </c>
      <c r="H204" s="7">
        <v>3</v>
      </c>
      <c r="I204" s="5">
        <f t="shared" si="21"/>
        <v>376.23713619391361</v>
      </c>
      <c r="J204" s="5">
        <f t="shared" si="22"/>
        <v>564.35570429087045</v>
      </c>
      <c r="K204" s="5">
        <f t="shared" si="23"/>
        <v>7.5247427238782727</v>
      </c>
      <c r="L204" s="30">
        <f t="shared" si="24"/>
        <v>1.1936620731892151</v>
      </c>
      <c r="M204" s="8">
        <f t="shared" si="25"/>
        <v>1.5049485447756543</v>
      </c>
      <c r="N204" s="2">
        <v>80</v>
      </c>
      <c r="O204" s="2">
        <v>68</v>
      </c>
      <c r="P204" s="2">
        <v>70</v>
      </c>
      <c r="S204" s="22">
        <f t="shared" si="26"/>
        <v>72.666666666666671</v>
      </c>
      <c r="T204" s="25">
        <f t="shared" si="27"/>
        <v>6.4291005073286369</v>
      </c>
    </row>
    <row r="205" spans="1:20" x14ac:dyDescent="0.2">
      <c r="A205" s="7" t="s">
        <v>16</v>
      </c>
      <c r="B205" s="1">
        <v>5</v>
      </c>
      <c r="C205" s="1">
        <v>22.5</v>
      </c>
      <c r="D205" s="1">
        <v>10</v>
      </c>
      <c r="E205" s="7">
        <v>17.190000000000001</v>
      </c>
      <c r="F205" s="1">
        <v>50</v>
      </c>
      <c r="G205" s="1">
        <v>5</v>
      </c>
      <c r="H205" s="7">
        <v>3</v>
      </c>
      <c r="I205" s="5">
        <f t="shared" si="21"/>
        <v>470.29642024239212</v>
      </c>
      <c r="J205" s="5">
        <f t="shared" si="22"/>
        <v>705.4446303635882</v>
      </c>
      <c r="K205" s="5">
        <f t="shared" si="23"/>
        <v>9.4059284048478418</v>
      </c>
      <c r="L205" s="30">
        <f t="shared" si="24"/>
        <v>1.1936620731892151</v>
      </c>
      <c r="M205" s="8">
        <f t="shared" si="25"/>
        <v>1.8811856809695686</v>
      </c>
      <c r="N205" s="2">
        <v>76</v>
      </c>
      <c r="O205" s="2">
        <v>75</v>
      </c>
      <c r="P205" s="2">
        <v>73</v>
      </c>
      <c r="S205" s="22">
        <f t="shared" si="26"/>
        <v>74.666666666666671</v>
      </c>
      <c r="T205" s="25">
        <f t="shared" si="27"/>
        <v>1.5275252316519468</v>
      </c>
    </row>
    <row r="206" spans="1:20" x14ac:dyDescent="0.2">
      <c r="A206" s="7" t="s">
        <v>16</v>
      </c>
      <c r="B206" s="1">
        <v>5</v>
      </c>
      <c r="C206" s="1">
        <v>22.5</v>
      </c>
      <c r="D206" s="1">
        <v>10</v>
      </c>
      <c r="E206" s="7">
        <v>17.190000000000001</v>
      </c>
      <c r="F206" s="1">
        <v>50</v>
      </c>
      <c r="G206" s="1">
        <v>6</v>
      </c>
      <c r="H206" s="7">
        <v>3</v>
      </c>
      <c r="I206" s="5">
        <f t="shared" si="21"/>
        <v>564.35570429087045</v>
      </c>
      <c r="J206" s="5">
        <f t="shared" si="22"/>
        <v>846.53355643630562</v>
      </c>
      <c r="K206" s="5">
        <f t="shared" si="23"/>
        <v>11.287114085817409</v>
      </c>
      <c r="L206" s="30">
        <f t="shared" si="24"/>
        <v>1.1936620731892151</v>
      </c>
      <c r="M206" s="8">
        <f t="shared" si="25"/>
        <v>2.2574228171634818</v>
      </c>
      <c r="N206" s="2">
        <v>67</v>
      </c>
      <c r="O206" s="2">
        <v>75</v>
      </c>
      <c r="P206" s="2">
        <v>83</v>
      </c>
      <c r="S206" s="22">
        <f t="shared" si="26"/>
        <v>75</v>
      </c>
      <c r="T206" s="25">
        <f t="shared" si="27"/>
        <v>8</v>
      </c>
    </row>
    <row r="207" spans="1:20" x14ac:dyDescent="0.2">
      <c r="A207" s="7" t="s">
        <v>16</v>
      </c>
      <c r="B207" s="1">
        <v>5</v>
      </c>
      <c r="C207" s="1">
        <v>22.5</v>
      </c>
      <c r="D207" s="1">
        <v>10</v>
      </c>
      <c r="E207" s="7">
        <v>17.190000000000001</v>
      </c>
      <c r="F207" s="1">
        <v>50</v>
      </c>
      <c r="G207" s="1">
        <v>1</v>
      </c>
      <c r="H207" s="7">
        <v>4</v>
      </c>
      <c r="I207" s="5">
        <f t="shared" si="21"/>
        <v>125.41237873130456</v>
      </c>
      <c r="J207" s="5">
        <f t="shared" si="22"/>
        <v>188.11856809695684</v>
      </c>
      <c r="K207" s="5">
        <f t="shared" si="23"/>
        <v>2.508247574626091</v>
      </c>
      <c r="L207" s="30">
        <f t="shared" si="24"/>
        <v>0.89524655489191129</v>
      </c>
      <c r="M207" s="8">
        <f t="shared" si="25"/>
        <v>0.66886601990029104</v>
      </c>
      <c r="N207" s="2">
        <v>36</v>
      </c>
      <c r="O207" s="2">
        <v>25</v>
      </c>
      <c r="P207" s="2">
        <v>26</v>
      </c>
      <c r="S207" s="22">
        <f t="shared" si="26"/>
        <v>29</v>
      </c>
      <c r="T207" s="25">
        <f t="shared" si="27"/>
        <v>6.0827625302982193</v>
      </c>
    </row>
    <row r="208" spans="1:20" x14ac:dyDescent="0.2">
      <c r="A208" s="7" t="s">
        <v>16</v>
      </c>
      <c r="B208" s="1">
        <v>5</v>
      </c>
      <c r="C208" s="1">
        <v>22.5</v>
      </c>
      <c r="D208" s="1">
        <v>10</v>
      </c>
      <c r="E208" s="7">
        <v>17.190000000000001</v>
      </c>
      <c r="F208" s="1">
        <v>50</v>
      </c>
      <c r="G208" s="1">
        <v>2</v>
      </c>
      <c r="H208" s="7">
        <v>4</v>
      </c>
      <c r="I208" s="5">
        <f t="shared" si="21"/>
        <v>250.82475746260911</v>
      </c>
      <c r="J208" s="5">
        <f t="shared" si="22"/>
        <v>376.23713619391367</v>
      </c>
      <c r="K208" s="5">
        <f t="shared" si="23"/>
        <v>5.0164951492521821</v>
      </c>
      <c r="L208" s="30">
        <f t="shared" si="24"/>
        <v>0.89524655489191129</v>
      </c>
      <c r="M208" s="8">
        <f t="shared" si="25"/>
        <v>1.3377320398005821</v>
      </c>
      <c r="N208" s="2">
        <v>87</v>
      </c>
      <c r="O208" s="2">
        <v>68</v>
      </c>
      <c r="P208" s="2">
        <v>70</v>
      </c>
      <c r="S208" s="22">
        <f t="shared" si="26"/>
        <v>75</v>
      </c>
      <c r="T208" s="25">
        <f t="shared" si="27"/>
        <v>10.440306508910551</v>
      </c>
    </row>
    <row r="209" spans="1:20" x14ac:dyDescent="0.2">
      <c r="A209" s="7" t="s">
        <v>16</v>
      </c>
      <c r="B209" s="1">
        <v>5</v>
      </c>
      <c r="C209" s="1">
        <v>22.5</v>
      </c>
      <c r="D209" s="1">
        <v>10</v>
      </c>
      <c r="E209" s="7">
        <v>17.190000000000001</v>
      </c>
      <c r="F209" s="1">
        <v>50</v>
      </c>
      <c r="G209" s="1">
        <v>3</v>
      </c>
      <c r="H209" s="7">
        <v>4</v>
      </c>
      <c r="I209" s="5">
        <f t="shared" si="21"/>
        <v>376.23713619391361</v>
      </c>
      <c r="J209" s="5">
        <f t="shared" si="22"/>
        <v>564.35570429087045</v>
      </c>
      <c r="K209" s="5">
        <f t="shared" si="23"/>
        <v>7.5247427238782727</v>
      </c>
      <c r="L209" s="30">
        <f t="shared" si="24"/>
        <v>0.89524655489191129</v>
      </c>
      <c r="M209" s="8">
        <f t="shared" si="25"/>
        <v>2.006598059700873</v>
      </c>
      <c r="N209" s="2">
        <v>81</v>
      </c>
      <c r="O209" s="2">
        <v>77</v>
      </c>
      <c r="P209" s="2">
        <v>83</v>
      </c>
      <c r="S209" s="22">
        <f t="shared" si="26"/>
        <v>80.333333333333329</v>
      </c>
      <c r="T209" s="25">
        <f t="shared" si="27"/>
        <v>3.0550504633038931</v>
      </c>
    </row>
    <row r="210" spans="1:20" x14ac:dyDescent="0.2">
      <c r="A210" s="7" t="s">
        <v>16</v>
      </c>
      <c r="B210" s="1">
        <v>5</v>
      </c>
      <c r="C210" s="1">
        <v>22.5</v>
      </c>
      <c r="D210" s="1">
        <v>10</v>
      </c>
      <c r="E210" s="7">
        <v>17.190000000000001</v>
      </c>
      <c r="F210" s="1">
        <v>50</v>
      </c>
      <c r="G210" s="1">
        <v>4</v>
      </c>
      <c r="H210" s="7">
        <v>4</v>
      </c>
      <c r="I210" s="5">
        <f t="shared" si="21"/>
        <v>501.64951492521823</v>
      </c>
      <c r="J210" s="5">
        <f t="shared" si="22"/>
        <v>752.47427238782734</v>
      </c>
      <c r="K210" s="5">
        <f t="shared" si="23"/>
        <v>10.032990298504364</v>
      </c>
      <c r="L210" s="30">
        <f t="shared" si="24"/>
        <v>0.89524655489191129</v>
      </c>
      <c r="M210" s="8">
        <f t="shared" si="25"/>
        <v>2.6754640796011642</v>
      </c>
      <c r="N210" s="2">
        <v>66</v>
      </c>
      <c r="O210" s="2">
        <v>66</v>
      </c>
      <c r="P210" s="2">
        <v>65</v>
      </c>
      <c r="S210" s="22">
        <f t="shared" si="26"/>
        <v>65.666666666666671</v>
      </c>
      <c r="T210" s="25">
        <f t="shared" si="27"/>
        <v>0.57735026918962573</v>
      </c>
    </row>
    <row r="211" spans="1:20" x14ac:dyDescent="0.2">
      <c r="A211" s="7" t="s">
        <v>16</v>
      </c>
      <c r="B211" s="1">
        <v>5</v>
      </c>
      <c r="C211" s="1">
        <v>22.5</v>
      </c>
      <c r="D211" s="1">
        <v>10</v>
      </c>
      <c r="E211" s="7">
        <v>17.190000000000001</v>
      </c>
      <c r="F211" s="1">
        <v>50</v>
      </c>
      <c r="G211" s="1">
        <v>5</v>
      </c>
      <c r="H211" s="7">
        <v>4</v>
      </c>
      <c r="I211" s="5">
        <f t="shared" si="21"/>
        <v>627.06189365652278</v>
      </c>
      <c r="J211" s="5">
        <f t="shared" si="22"/>
        <v>940.59284048478412</v>
      </c>
      <c r="K211" s="5">
        <f t="shared" si="23"/>
        <v>12.541237873130456</v>
      </c>
      <c r="L211" s="30">
        <f t="shared" si="24"/>
        <v>0.89524655489191129</v>
      </c>
      <c r="M211" s="8">
        <f t="shared" si="25"/>
        <v>3.3443300995014549</v>
      </c>
      <c r="N211" s="2">
        <v>58</v>
      </c>
      <c r="O211" s="2">
        <v>56</v>
      </c>
      <c r="P211" s="2">
        <v>53</v>
      </c>
      <c r="S211" s="22">
        <f t="shared" si="26"/>
        <v>55.666666666666664</v>
      </c>
      <c r="T211" s="25">
        <f t="shared" si="27"/>
        <v>2.5166114784235831</v>
      </c>
    </row>
    <row r="212" spans="1:20" x14ac:dyDescent="0.2">
      <c r="A212" s="7" t="s">
        <v>16</v>
      </c>
      <c r="B212" s="1">
        <v>5</v>
      </c>
      <c r="C212" s="1">
        <v>22.5</v>
      </c>
      <c r="D212" s="1">
        <v>10</v>
      </c>
      <c r="E212" s="7">
        <v>17.190000000000001</v>
      </c>
      <c r="F212" s="1">
        <v>50</v>
      </c>
      <c r="G212" s="1">
        <v>1</v>
      </c>
      <c r="H212" s="17">
        <v>8</v>
      </c>
      <c r="I212" s="18">
        <f t="shared" si="21"/>
        <v>250.82475746260911</v>
      </c>
      <c r="J212" s="5">
        <f t="shared" si="22"/>
        <v>376.23713619391367</v>
      </c>
      <c r="K212" s="5">
        <f t="shared" si="23"/>
        <v>5.0164951492521821</v>
      </c>
      <c r="L212" s="30">
        <f t="shared" si="24"/>
        <v>0.44762327744595565</v>
      </c>
      <c r="M212" s="8">
        <f t="shared" si="25"/>
        <v>2.6754640796011642</v>
      </c>
      <c r="N212" s="2">
        <v>32</v>
      </c>
      <c r="O212" s="2">
        <v>26</v>
      </c>
      <c r="P212" s="2">
        <v>26</v>
      </c>
      <c r="S212" s="22">
        <f t="shared" si="26"/>
        <v>28</v>
      </c>
      <c r="T212" s="25">
        <f t="shared" si="27"/>
        <v>3.4641016151377544</v>
      </c>
    </row>
    <row r="213" spans="1:20" x14ac:dyDescent="0.2">
      <c r="A213" s="7" t="s">
        <v>16</v>
      </c>
      <c r="B213" s="1">
        <v>5</v>
      </c>
      <c r="C213" s="1">
        <v>22.5</v>
      </c>
      <c r="D213" s="1">
        <v>10</v>
      </c>
      <c r="E213" s="7">
        <v>17.190000000000001</v>
      </c>
      <c r="F213" s="1">
        <v>50</v>
      </c>
      <c r="G213" s="1">
        <v>2</v>
      </c>
      <c r="H213" s="1">
        <v>8</v>
      </c>
      <c r="I213" s="18">
        <f t="shared" ref="I213:I215" si="28">(2*PI()*G213*(H213/1000)*998*(B213/1000))/0.001</f>
        <v>501.64951492521823</v>
      </c>
      <c r="J213" s="5">
        <f t="shared" ref="J213:J215" si="29">I213*SQRT(C213/(2*B213))</f>
        <v>752.47427238782734</v>
      </c>
      <c r="K213" s="5">
        <f t="shared" si="23"/>
        <v>10.032990298504364</v>
      </c>
      <c r="L213" s="30">
        <f t="shared" si="24"/>
        <v>0.44762327744595565</v>
      </c>
      <c r="M213" s="8">
        <f t="shared" si="25"/>
        <v>5.3509281592023283</v>
      </c>
      <c r="N213" s="2">
        <v>26</v>
      </c>
      <c r="O213" s="2">
        <v>32</v>
      </c>
      <c r="P213" s="2">
        <v>29</v>
      </c>
      <c r="S213" s="22">
        <f t="shared" si="26"/>
        <v>29</v>
      </c>
      <c r="T213" s="25">
        <f t="shared" si="27"/>
        <v>3</v>
      </c>
    </row>
    <row r="214" spans="1:20" x14ac:dyDescent="0.2">
      <c r="A214" s="7" t="s">
        <v>16</v>
      </c>
      <c r="B214" s="1">
        <v>5</v>
      </c>
      <c r="C214" s="1">
        <v>22.5</v>
      </c>
      <c r="D214" s="1">
        <v>10</v>
      </c>
      <c r="E214" s="7">
        <v>17.190000000000001</v>
      </c>
      <c r="F214" s="1">
        <v>50</v>
      </c>
      <c r="G214" s="1">
        <v>3</v>
      </c>
      <c r="H214" s="1">
        <v>8</v>
      </c>
      <c r="I214" s="18">
        <f t="shared" si="28"/>
        <v>752.47427238782723</v>
      </c>
      <c r="J214" s="5">
        <f t="shared" si="29"/>
        <v>1128.7114085817409</v>
      </c>
      <c r="K214" s="5">
        <f t="shared" si="23"/>
        <v>15.049485447756545</v>
      </c>
      <c r="L214" s="30">
        <f t="shared" si="24"/>
        <v>0.44762327744595565</v>
      </c>
      <c r="M214" s="8">
        <f t="shared" si="25"/>
        <v>8.0263922388034921</v>
      </c>
      <c r="N214" s="2">
        <v>16</v>
      </c>
      <c r="O214" s="2">
        <v>28</v>
      </c>
      <c r="P214" s="2">
        <v>25</v>
      </c>
      <c r="S214" s="22">
        <f t="shared" si="26"/>
        <v>23</v>
      </c>
      <c r="T214" s="25">
        <f t="shared" si="27"/>
        <v>6.2449979983983983</v>
      </c>
    </row>
    <row r="215" spans="1:20" x14ac:dyDescent="0.2">
      <c r="A215" s="6" t="s">
        <v>16</v>
      </c>
      <c r="B215" s="4">
        <v>5</v>
      </c>
      <c r="C215" s="4">
        <v>22.5</v>
      </c>
      <c r="D215" s="4">
        <v>10</v>
      </c>
      <c r="E215" s="6">
        <v>17.190000000000001</v>
      </c>
      <c r="F215" s="4">
        <v>50</v>
      </c>
      <c r="G215" s="4">
        <v>4</v>
      </c>
      <c r="H215" s="4">
        <v>8</v>
      </c>
      <c r="I215" s="19">
        <f t="shared" si="28"/>
        <v>1003.2990298504365</v>
      </c>
      <c r="J215" s="9">
        <f t="shared" si="29"/>
        <v>1504.9485447756547</v>
      </c>
      <c r="K215" s="9">
        <f t="shared" si="23"/>
        <v>20.065980597008728</v>
      </c>
      <c r="L215" s="31">
        <f t="shared" si="24"/>
        <v>0.44762327744595565</v>
      </c>
      <c r="M215" s="10">
        <f t="shared" si="25"/>
        <v>10.701856318404657</v>
      </c>
      <c r="N215" s="20">
        <v>19</v>
      </c>
      <c r="O215" s="20">
        <v>22</v>
      </c>
      <c r="P215" s="20">
        <v>22</v>
      </c>
      <c r="Q215" s="4"/>
      <c r="R215" s="4"/>
      <c r="S215" s="23">
        <f t="shared" si="26"/>
        <v>21</v>
      </c>
      <c r="T215" s="11">
        <f t="shared" si="27"/>
        <v>1.7320508075688772</v>
      </c>
    </row>
    <row r="216" spans="1:20" x14ac:dyDescent="0.2">
      <c r="A216" s="12" t="s">
        <v>17</v>
      </c>
      <c r="B216" s="1">
        <v>5</v>
      </c>
      <c r="C216" s="1">
        <v>32.5</v>
      </c>
      <c r="D216" s="1">
        <v>10</v>
      </c>
      <c r="E216" s="12">
        <v>17.55</v>
      </c>
      <c r="F216" s="1">
        <v>10</v>
      </c>
      <c r="G216" s="1">
        <v>0</v>
      </c>
      <c r="H216" s="1">
        <v>0</v>
      </c>
      <c r="I216" s="18">
        <f t="shared" ref="I216:I217" si="30">(2*PI()*G216*(H216/1000)*998*(B216/1000))/0.001</f>
        <v>0</v>
      </c>
      <c r="J216" s="5">
        <f t="shared" ref="J216:J217" si="31">I216*SQRT(C216/(2*B216))</f>
        <v>0</v>
      </c>
      <c r="K216" s="5">
        <f t="shared" si="23"/>
        <v>0</v>
      </c>
      <c r="L216" s="30" t="e">
        <f t="shared" si="24"/>
        <v>#DIV/0!</v>
      </c>
      <c r="M216" s="8">
        <f t="shared" si="25"/>
        <v>0</v>
      </c>
      <c r="N216" s="2">
        <v>16</v>
      </c>
      <c r="O216" s="2">
        <v>12</v>
      </c>
      <c r="P216" s="2">
        <v>12</v>
      </c>
      <c r="S216" s="22">
        <f t="shared" si="26"/>
        <v>13.333333333333334</v>
      </c>
      <c r="T216" s="25">
        <f t="shared" si="27"/>
        <v>2.3094010767584989</v>
      </c>
    </row>
    <row r="217" spans="1:20" x14ac:dyDescent="0.2">
      <c r="A217" s="7" t="s">
        <v>17</v>
      </c>
      <c r="B217" s="1">
        <v>5</v>
      </c>
      <c r="C217" s="1">
        <v>32.5</v>
      </c>
      <c r="D217" s="1">
        <v>10</v>
      </c>
      <c r="E217" s="7">
        <v>17.55</v>
      </c>
      <c r="F217" s="1">
        <v>10</v>
      </c>
      <c r="G217" s="1">
        <v>1</v>
      </c>
      <c r="H217" s="1">
        <v>1</v>
      </c>
      <c r="I217" s="18">
        <f t="shared" si="30"/>
        <v>31.353094682826139</v>
      </c>
      <c r="J217" s="5">
        <f t="shared" si="31"/>
        <v>56.522595261703501</v>
      </c>
      <c r="K217" s="5">
        <f t="shared" si="23"/>
        <v>3.1353094682826139</v>
      </c>
      <c r="L217" s="30">
        <f t="shared" si="24"/>
        <v>5.1725356504865987</v>
      </c>
      <c r="M217" s="8">
        <f t="shared" si="25"/>
        <v>0.17391567772831845</v>
      </c>
      <c r="N217" s="2">
        <v>13</v>
      </c>
      <c r="O217" s="2">
        <v>17</v>
      </c>
      <c r="P217" s="2">
        <v>14</v>
      </c>
      <c r="S217" s="22">
        <f t="shared" si="26"/>
        <v>14.666666666666666</v>
      </c>
      <c r="T217" s="25">
        <f t="shared" si="27"/>
        <v>2.0816659994661282</v>
      </c>
    </row>
    <row r="218" spans="1:20" x14ac:dyDescent="0.2">
      <c r="A218" s="7" t="s">
        <v>17</v>
      </c>
      <c r="B218" s="1">
        <v>5</v>
      </c>
      <c r="C218" s="1">
        <v>32.5</v>
      </c>
      <c r="D218" s="1">
        <v>10</v>
      </c>
      <c r="E218" s="7">
        <v>17.55</v>
      </c>
      <c r="F218" s="1">
        <v>10</v>
      </c>
      <c r="G218" s="1">
        <v>2</v>
      </c>
      <c r="H218" s="1">
        <v>1</v>
      </c>
      <c r="I218" s="18">
        <f t="shared" ref="I218:I269" si="32">(2*PI()*G218*(H218/1000)*998*(B218/1000))/0.001</f>
        <v>62.706189365652278</v>
      </c>
      <c r="J218" s="5">
        <f t="shared" ref="J218:J269" si="33">I218*SQRT(C218/(2*B218))</f>
        <v>113.045190523407</v>
      </c>
      <c r="K218" s="5">
        <f t="shared" si="23"/>
        <v>6.2706189365652278</v>
      </c>
      <c r="L218" s="30">
        <f t="shared" si="24"/>
        <v>5.1725356504865987</v>
      </c>
      <c r="M218" s="8">
        <f t="shared" si="25"/>
        <v>0.3478313554566369</v>
      </c>
      <c r="N218" s="2">
        <v>11</v>
      </c>
      <c r="O218" s="2">
        <v>14</v>
      </c>
      <c r="P218" s="2">
        <v>12</v>
      </c>
      <c r="S218" s="22">
        <f t="shared" si="26"/>
        <v>12.333333333333334</v>
      </c>
      <c r="T218" s="25">
        <f t="shared" si="27"/>
        <v>1.5275252316519499</v>
      </c>
    </row>
    <row r="219" spans="1:20" x14ac:dyDescent="0.2">
      <c r="A219" s="7" t="s">
        <v>17</v>
      </c>
      <c r="B219" s="1">
        <v>5</v>
      </c>
      <c r="C219" s="1">
        <v>32.5</v>
      </c>
      <c r="D219" s="1">
        <v>10</v>
      </c>
      <c r="E219" s="7">
        <v>17.55</v>
      </c>
      <c r="F219" s="1">
        <v>10</v>
      </c>
      <c r="G219" s="1">
        <v>3</v>
      </c>
      <c r="H219" s="1">
        <v>1</v>
      </c>
      <c r="I219" s="18">
        <f t="shared" si="32"/>
        <v>94.059284048478403</v>
      </c>
      <c r="J219" s="5">
        <f t="shared" si="33"/>
        <v>169.56778578511049</v>
      </c>
      <c r="K219" s="5">
        <f t="shared" si="23"/>
        <v>9.40592840484784</v>
      </c>
      <c r="L219" s="30">
        <f t="shared" si="24"/>
        <v>5.1725356504865987</v>
      </c>
      <c r="M219" s="8">
        <f t="shared" si="25"/>
        <v>0.52174703318495541</v>
      </c>
      <c r="N219" s="2">
        <v>12</v>
      </c>
      <c r="O219" s="2">
        <v>12</v>
      </c>
      <c r="P219" s="2">
        <v>12</v>
      </c>
      <c r="S219" s="22">
        <f t="shared" si="26"/>
        <v>12</v>
      </c>
      <c r="T219" s="25">
        <f t="shared" si="27"/>
        <v>0</v>
      </c>
    </row>
    <row r="220" spans="1:20" x14ac:dyDescent="0.2">
      <c r="A220" s="7" t="s">
        <v>17</v>
      </c>
      <c r="B220" s="1">
        <v>5</v>
      </c>
      <c r="C220" s="1">
        <v>32.5</v>
      </c>
      <c r="D220" s="1">
        <v>10</v>
      </c>
      <c r="E220" s="7">
        <v>17.55</v>
      </c>
      <c r="F220" s="1">
        <v>10</v>
      </c>
      <c r="G220" s="1">
        <v>4</v>
      </c>
      <c r="H220" s="1">
        <v>1</v>
      </c>
      <c r="I220" s="18">
        <f t="shared" si="32"/>
        <v>125.41237873130456</v>
      </c>
      <c r="J220" s="5">
        <f t="shared" si="33"/>
        <v>226.090381046814</v>
      </c>
      <c r="K220" s="5">
        <f t="shared" si="23"/>
        <v>12.541237873130456</v>
      </c>
      <c r="L220" s="30">
        <f t="shared" si="24"/>
        <v>5.1725356504865987</v>
      </c>
      <c r="M220" s="8">
        <f t="shared" si="25"/>
        <v>0.69566271091327381</v>
      </c>
      <c r="N220" s="2">
        <v>10</v>
      </c>
      <c r="O220" s="2">
        <v>12</v>
      </c>
      <c r="P220" s="2">
        <v>12</v>
      </c>
      <c r="S220" s="22">
        <f t="shared" si="26"/>
        <v>11.333333333333334</v>
      </c>
      <c r="T220" s="25">
        <f t="shared" si="27"/>
        <v>1.1547005383792517</v>
      </c>
    </row>
    <row r="221" spans="1:20" x14ac:dyDescent="0.2">
      <c r="A221" s="7" t="s">
        <v>17</v>
      </c>
      <c r="B221" s="1">
        <v>5</v>
      </c>
      <c r="C221" s="1">
        <v>32.5</v>
      </c>
      <c r="D221" s="1">
        <v>10</v>
      </c>
      <c r="E221" s="7">
        <v>17.55</v>
      </c>
      <c r="F221" s="1">
        <v>10</v>
      </c>
      <c r="G221" s="1">
        <v>5</v>
      </c>
      <c r="H221" s="1">
        <v>1</v>
      </c>
      <c r="I221" s="18">
        <f t="shared" si="32"/>
        <v>156.7654734141307</v>
      </c>
      <c r="J221" s="5">
        <f t="shared" si="33"/>
        <v>282.61297630851749</v>
      </c>
      <c r="K221" s="5">
        <f t="shared" si="23"/>
        <v>15.67654734141307</v>
      </c>
      <c r="L221" s="30">
        <f t="shared" si="24"/>
        <v>5.1725356504865987</v>
      </c>
      <c r="M221" s="8">
        <f t="shared" si="25"/>
        <v>0.8695783886415922</v>
      </c>
      <c r="N221" s="2">
        <v>10</v>
      </c>
      <c r="O221" s="2">
        <v>14</v>
      </c>
      <c r="P221" s="2">
        <v>12</v>
      </c>
      <c r="S221" s="22">
        <f t="shared" si="26"/>
        <v>12</v>
      </c>
      <c r="T221" s="25">
        <f t="shared" si="27"/>
        <v>2</v>
      </c>
    </row>
    <row r="222" spans="1:20" x14ac:dyDescent="0.2">
      <c r="A222" s="7" t="s">
        <v>17</v>
      </c>
      <c r="B222" s="1">
        <v>5</v>
      </c>
      <c r="C222" s="1">
        <v>32.5</v>
      </c>
      <c r="D222" s="1">
        <v>10</v>
      </c>
      <c r="E222" s="7">
        <v>17.55</v>
      </c>
      <c r="F222" s="1">
        <v>10</v>
      </c>
      <c r="G222" s="1">
        <v>1</v>
      </c>
      <c r="H222" s="1">
        <v>2</v>
      </c>
      <c r="I222" s="18">
        <f t="shared" si="32"/>
        <v>62.706189365652278</v>
      </c>
      <c r="J222" s="5">
        <f t="shared" si="33"/>
        <v>113.045190523407</v>
      </c>
      <c r="K222" s="5">
        <f t="shared" si="23"/>
        <v>6.2706189365652278</v>
      </c>
      <c r="L222" s="30">
        <f t="shared" si="24"/>
        <v>2.5862678252432993</v>
      </c>
      <c r="M222" s="8">
        <f t="shared" si="25"/>
        <v>0.69566271091327381</v>
      </c>
      <c r="N222" s="2">
        <v>28</v>
      </c>
      <c r="O222" s="2">
        <v>28</v>
      </c>
      <c r="P222" s="2">
        <v>32</v>
      </c>
      <c r="S222" s="22">
        <f t="shared" si="26"/>
        <v>29.333333333333332</v>
      </c>
      <c r="T222" s="25">
        <f t="shared" si="27"/>
        <v>2.3094010767585034</v>
      </c>
    </row>
    <row r="223" spans="1:20" x14ac:dyDescent="0.2">
      <c r="A223" s="7" t="s">
        <v>17</v>
      </c>
      <c r="B223" s="1">
        <v>5</v>
      </c>
      <c r="C223" s="1">
        <v>32.5</v>
      </c>
      <c r="D223" s="1">
        <v>10</v>
      </c>
      <c r="E223" s="7">
        <v>17.55</v>
      </c>
      <c r="F223" s="1">
        <v>10</v>
      </c>
      <c r="G223" s="1">
        <v>2</v>
      </c>
      <c r="H223" s="1">
        <v>2</v>
      </c>
      <c r="I223" s="18">
        <f t="shared" si="32"/>
        <v>125.41237873130456</v>
      </c>
      <c r="J223" s="5">
        <f t="shared" si="33"/>
        <v>226.090381046814</v>
      </c>
      <c r="K223" s="5">
        <f t="shared" si="23"/>
        <v>12.541237873130456</v>
      </c>
      <c r="L223" s="30">
        <f t="shared" si="24"/>
        <v>2.5862678252432993</v>
      </c>
      <c r="M223" s="8">
        <f t="shared" si="25"/>
        <v>1.3913254218265476</v>
      </c>
      <c r="N223" s="2">
        <v>65</v>
      </c>
      <c r="O223" s="2">
        <v>64</v>
      </c>
      <c r="P223" s="2">
        <v>60</v>
      </c>
      <c r="S223" s="22">
        <f t="shared" si="26"/>
        <v>63</v>
      </c>
      <c r="T223" s="25">
        <f t="shared" si="27"/>
        <v>2.6457513110645907</v>
      </c>
    </row>
    <row r="224" spans="1:20" x14ac:dyDescent="0.2">
      <c r="A224" s="7" t="s">
        <v>17</v>
      </c>
      <c r="B224" s="1">
        <v>5</v>
      </c>
      <c r="C224" s="1">
        <v>32.5</v>
      </c>
      <c r="D224" s="1">
        <v>10</v>
      </c>
      <c r="E224" s="7">
        <v>17.55</v>
      </c>
      <c r="F224" s="1">
        <v>10</v>
      </c>
      <c r="G224" s="1">
        <v>3</v>
      </c>
      <c r="H224" s="1">
        <v>2</v>
      </c>
      <c r="I224" s="18">
        <f t="shared" si="32"/>
        <v>188.11856809695681</v>
      </c>
      <c r="J224" s="5">
        <f t="shared" si="33"/>
        <v>339.13557157022097</v>
      </c>
      <c r="K224" s="5">
        <f t="shared" si="23"/>
        <v>18.81185680969568</v>
      </c>
      <c r="L224" s="30">
        <f t="shared" si="24"/>
        <v>2.5862678252432993</v>
      </c>
      <c r="M224" s="8">
        <f t="shared" si="25"/>
        <v>2.0869881327398216</v>
      </c>
      <c r="N224" s="2">
        <v>65</v>
      </c>
      <c r="O224" s="2">
        <v>69</v>
      </c>
      <c r="P224" s="2">
        <v>70</v>
      </c>
      <c r="S224" s="22">
        <f t="shared" si="26"/>
        <v>68</v>
      </c>
      <c r="T224" s="25">
        <f t="shared" si="27"/>
        <v>2.6457513110645907</v>
      </c>
    </row>
    <row r="225" spans="1:20" x14ac:dyDescent="0.2">
      <c r="A225" s="7" t="s">
        <v>17</v>
      </c>
      <c r="B225" s="1">
        <v>5</v>
      </c>
      <c r="C225" s="1">
        <v>32.5</v>
      </c>
      <c r="D225" s="1">
        <v>10</v>
      </c>
      <c r="E225" s="7">
        <v>17.55</v>
      </c>
      <c r="F225" s="1">
        <v>10</v>
      </c>
      <c r="G225" s="1">
        <v>4</v>
      </c>
      <c r="H225" s="1">
        <v>2</v>
      </c>
      <c r="I225" s="18">
        <f t="shared" si="32"/>
        <v>250.82475746260911</v>
      </c>
      <c r="J225" s="5">
        <f t="shared" si="33"/>
        <v>452.180762093628</v>
      </c>
      <c r="K225" s="5">
        <f t="shared" si="23"/>
        <v>25.082475746260911</v>
      </c>
      <c r="L225" s="30">
        <f t="shared" si="24"/>
        <v>2.5862678252432993</v>
      </c>
      <c r="M225" s="8">
        <f t="shared" si="25"/>
        <v>2.7826508436530952</v>
      </c>
      <c r="N225" s="2">
        <v>53</v>
      </c>
      <c r="O225" s="2">
        <v>62</v>
      </c>
      <c r="P225" s="2">
        <v>50</v>
      </c>
      <c r="S225" s="22">
        <f t="shared" si="26"/>
        <v>55</v>
      </c>
      <c r="T225" s="25">
        <f t="shared" si="27"/>
        <v>6.2449979983983983</v>
      </c>
    </row>
    <row r="226" spans="1:20" x14ac:dyDescent="0.2">
      <c r="A226" s="7" t="s">
        <v>17</v>
      </c>
      <c r="B226" s="1">
        <v>5</v>
      </c>
      <c r="C226" s="1">
        <v>32.5</v>
      </c>
      <c r="D226" s="1">
        <v>10</v>
      </c>
      <c r="E226" s="7">
        <v>17.55</v>
      </c>
      <c r="F226" s="1">
        <v>10</v>
      </c>
      <c r="G226" s="1">
        <v>5</v>
      </c>
      <c r="H226" s="1">
        <v>2</v>
      </c>
      <c r="I226" s="18">
        <f t="shared" si="32"/>
        <v>313.53094682826139</v>
      </c>
      <c r="J226" s="5">
        <f t="shared" si="33"/>
        <v>565.22595261703498</v>
      </c>
      <c r="K226" s="5">
        <f t="shared" si="23"/>
        <v>31.353094682826139</v>
      </c>
      <c r="L226" s="30">
        <f t="shared" si="24"/>
        <v>2.5862678252432993</v>
      </c>
      <c r="M226" s="8">
        <f t="shared" si="25"/>
        <v>3.4783135545663688</v>
      </c>
      <c r="N226" s="2">
        <v>62</v>
      </c>
      <c r="O226" s="2">
        <v>64</v>
      </c>
      <c r="P226" s="2">
        <v>46</v>
      </c>
      <c r="S226" s="22">
        <f t="shared" si="26"/>
        <v>57.333333333333336</v>
      </c>
      <c r="T226" s="25">
        <f t="shared" si="27"/>
        <v>9.8657657246324799</v>
      </c>
    </row>
    <row r="227" spans="1:20" x14ac:dyDescent="0.2">
      <c r="A227" s="7" t="s">
        <v>17</v>
      </c>
      <c r="B227" s="1">
        <v>5</v>
      </c>
      <c r="C227" s="1">
        <v>32.5</v>
      </c>
      <c r="D227" s="1">
        <v>10</v>
      </c>
      <c r="E227" s="7">
        <v>17.55</v>
      </c>
      <c r="F227" s="1">
        <v>10</v>
      </c>
      <c r="G227" s="1">
        <v>6</v>
      </c>
      <c r="H227" s="1">
        <v>2</v>
      </c>
      <c r="I227" s="18">
        <f t="shared" si="32"/>
        <v>376.23713619391361</v>
      </c>
      <c r="J227" s="5">
        <f t="shared" si="33"/>
        <v>678.27114314044195</v>
      </c>
      <c r="K227" s="5">
        <f t="shared" si="23"/>
        <v>37.62371361939136</v>
      </c>
      <c r="L227" s="30">
        <f t="shared" si="24"/>
        <v>2.5862678252432993</v>
      </c>
      <c r="M227" s="8">
        <f t="shared" si="25"/>
        <v>4.1739762654796433</v>
      </c>
      <c r="N227" s="2">
        <v>37</v>
      </c>
      <c r="O227" s="2">
        <v>37</v>
      </c>
      <c r="P227" s="2">
        <v>48</v>
      </c>
      <c r="S227" s="22">
        <f t="shared" si="26"/>
        <v>40.666666666666664</v>
      </c>
      <c r="T227" s="25">
        <f t="shared" si="27"/>
        <v>6.350852961085895</v>
      </c>
    </row>
    <row r="228" spans="1:20" x14ac:dyDescent="0.2">
      <c r="A228" s="7" t="s">
        <v>17</v>
      </c>
      <c r="B228" s="1">
        <v>5</v>
      </c>
      <c r="C228" s="1">
        <v>32.5</v>
      </c>
      <c r="D228" s="1">
        <v>10</v>
      </c>
      <c r="E228" s="7">
        <v>17.55</v>
      </c>
      <c r="F228" s="1">
        <v>10</v>
      </c>
      <c r="G228" s="1">
        <v>1</v>
      </c>
      <c r="H228" s="1">
        <v>3</v>
      </c>
      <c r="I228" s="18">
        <f t="shared" si="32"/>
        <v>94.059284048478403</v>
      </c>
      <c r="J228" s="5">
        <f t="shared" si="33"/>
        <v>169.56778578511049</v>
      </c>
      <c r="K228" s="5">
        <f t="shared" si="23"/>
        <v>9.40592840484784</v>
      </c>
      <c r="L228" s="30">
        <f t="shared" si="24"/>
        <v>1.7241785501621996</v>
      </c>
      <c r="M228" s="8">
        <f t="shared" si="25"/>
        <v>1.5652410995548662</v>
      </c>
      <c r="N228" s="2">
        <v>45</v>
      </c>
      <c r="O228" s="2">
        <v>56</v>
      </c>
      <c r="P228" s="2">
        <v>46</v>
      </c>
      <c r="S228" s="22">
        <f t="shared" si="26"/>
        <v>49</v>
      </c>
      <c r="T228" s="25">
        <f t="shared" si="27"/>
        <v>6.0827625302982193</v>
      </c>
    </row>
    <row r="229" spans="1:20" x14ac:dyDescent="0.2">
      <c r="A229" s="7" t="s">
        <v>17</v>
      </c>
      <c r="B229" s="1">
        <v>5</v>
      </c>
      <c r="C229" s="1">
        <v>32.5</v>
      </c>
      <c r="D229" s="1">
        <v>10</v>
      </c>
      <c r="E229" s="7">
        <v>17.55</v>
      </c>
      <c r="F229" s="1">
        <v>10</v>
      </c>
      <c r="G229" s="1">
        <v>2</v>
      </c>
      <c r="H229" s="1">
        <v>3</v>
      </c>
      <c r="I229" s="18">
        <f t="shared" si="32"/>
        <v>188.11856809695681</v>
      </c>
      <c r="J229" s="5">
        <f t="shared" si="33"/>
        <v>339.13557157022097</v>
      </c>
      <c r="K229" s="5">
        <f t="shared" si="23"/>
        <v>18.81185680969568</v>
      </c>
      <c r="L229" s="30">
        <f t="shared" si="24"/>
        <v>1.7241785501621996</v>
      </c>
      <c r="M229" s="8">
        <f t="shared" si="25"/>
        <v>3.1304821991097325</v>
      </c>
      <c r="N229" s="2">
        <v>85</v>
      </c>
      <c r="O229" s="2">
        <v>63</v>
      </c>
      <c r="P229" s="2">
        <v>77</v>
      </c>
      <c r="S229" s="22">
        <f t="shared" si="26"/>
        <v>75</v>
      </c>
      <c r="T229" s="25">
        <f t="shared" si="27"/>
        <v>11.135528725660043</v>
      </c>
    </row>
    <row r="230" spans="1:20" x14ac:dyDescent="0.2">
      <c r="A230" s="7" t="s">
        <v>17</v>
      </c>
      <c r="B230" s="1">
        <v>5</v>
      </c>
      <c r="C230" s="1">
        <v>32.5</v>
      </c>
      <c r="D230" s="1">
        <v>10</v>
      </c>
      <c r="E230" s="7">
        <v>17.55</v>
      </c>
      <c r="F230" s="1">
        <v>10</v>
      </c>
      <c r="G230" s="1">
        <v>3</v>
      </c>
      <c r="H230" s="1">
        <v>3</v>
      </c>
      <c r="I230" s="18">
        <f t="shared" si="32"/>
        <v>282.17785214543522</v>
      </c>
      <c r="J230" s="5">
        <f t="shared" si="33"/>
        <v>508.70335735533143</v>
      </c>
      <c r="K230" s="5">
        <f t="shared" si="23"/>
        <v>28.217785214543522</v>
      </c>
      <c r="L230" s="30">
        <f t="shared" si="24"/>
        <v>1.7241785501621996</v>
      </c>
      <c r="M230" s="8">
        <f t="shared" si="25"/>
        <v>4.695723298664598</v>
      </c>
      <c r="N230" s="2">
        <v>56</v>
      </c>
      <c r="O230" s="2">
        <v>37</v>
      </c>
      <c r="P230" s="2">
        <v>75</v>
      </c>
      <c r="S230" s="22">
        <f t="shared" si="26"/>
        <v>56</v>
      </c>
      <c r="T230" s="25">
        <f t="shared" si="27"/>
        <v>19</v>
      </c>
    </row>
    <row r="231" spans="1:20" x14ac:dyDescent="0.2">
      <c r="A231" s="7" t="s">
        <v>17</v>
      </c>
      <c r="B231" s="1">
        <v>5</v>
      </c>
      <c r="C231" s="1">
        <v>32.5</v>
      </c>
      <c r="D231" s="1">
        <v>10</v>
      </c>
      <c r="E231" s="7">
        <v>17.55</v>
      </c>
      <c r="F231" s="1">
        <v>10</v>
      </c>
      <c r="G231" s="1">
        <v>4</v>
      </c>
      <c r="H231" s="1">
        <v>3</v>
      </c>
      <c r="I231" s="18">
        <f t="shared" si="32"/>
        <v>376.23713619391361</v>
      </c>
      <c r="J231" s="5">
        <f t="shared" si="33"/>
        <v>678.27114314044195</v>
      </c>
      <c r="K231" s="5">
        <f t="shared" si="23"/>
        <v>37.62371361939136</v>
      </c>
      <c r="L231" s="30">
        <f t="shared" si="24"/>
        <v>1.7241785501621996</v>
      </c>
      <c r="M231" s="8">
        <f t="shared" si="25"/>
        <v>6.2609643982194649</v>
      </c>
      <c r="N231" s="2">
        <v>39</v>
      </c>
      <c r="O231" s="2">
        <v>17</v>
      </c>
      <c r="P231" s="2">
        <v>60</v>
      </c>
      <c r="S231" s="22">
        <f t="shared" si="26"/>
        <v>38.666666666666664</v>
      </c>
      <c r="T231" s="25">
        <f t="shared" si="27"/>
        <v>21.50193789716019</v>
      </c>
    </row>
    <row r="232" spans="1:20" x14ac:dyDescent="0.2">
      <c r="A232" s="7" t="s">
        <v>17</v>
      </c>
      <c r="B232" s="1">
        <v>5</v>
      </c>
      <c r="C232" s="1">
        <v>32.5</v>
      </c>
      <c r="D232" s="1">
        <v>10</v>
      </c>
      <c r="E232" s="7">
        <v>17.55</v>
      </c>
      <c r="F232" s="1">
        <v>10</v>
      </c>
      <c r="G232" s="1">
        <v>5</v>
      </c>
      <c r="H232" s="1">
        <v>3</v>
      </c>
      <c r="I232" s="18">
        <f t="shared" si="32"/>
        <v>470.29642024239212</v>
      </c>
      <c r="J232" s="5">
        <f t="shared" si="33"/>
        <v>847.83892892555252</v>
      </c>
      <c r="K232" s="5">
        <f t="shared" si="23"/>
        <v>47.029642024239209</v>
      </c>
      <c r="L232" s="30">
        <f t="shared" si="24"/>
        <v>1.7241785501621996</v>
      </c>
      <c r="M232" s="8">
        <f t="shared" si="25"/>
        <v>7.8262054977743318</v>
      </c>
      <c r="N232" s="2">
        <v>29</v>
      </c>
      <c r="O232" s="2">
        <v>21</v>
      </c>
      <c r="P232" s="2">
        <v>47</v>
      </c>
      <c r="S232" s="22">
        <f t="shared" si="26"/>
        <v>32.333333333333336</v>
      </c>
      <c r="T232" s="25">
        <f t="shared" si="27"/>
        <v>13.316656236958783</v>
      </c>
    </row>
    <row r="233" spans="1:20" x14ac:dyDescent="0.2">
      <c r="A233" s="7" t="s">
        <v>17</v>
      </c>
      <c r="B233" s="1">
        <v>5</v>
      </c>
      <c r="C233" s="1">
        <v>32.5</v>
      </c>
      <c r="D233" s="1">
        <v>10</v>
      </c>
      <c r="E233" s="7">
        <v>17.55</v>
      </c>
      <c r="F233" s="1">
        <v>10</v>
      </c>
      <c r="G233" s="1">
        <v>1</v>
      </c>
      <c r="H233" s="1">
        <v>4</v>
      </c>
      <c r="I233" s="18">
        <f t="shared" si="32"/>
        <v>125.41237873130456</v>
      </c>
      <c r="J233" s="5">
        <f t="shared" si="33"/>
        <v>226.090381046814</v>
      </c>
      <c r="K233" s="5">
        <f t="shared" si="23"/>
        <v>12.541237873130456</v>
      </c>
      <c r="L233" s="30">
        <f t="shared" si="24"/>
        <v>1.2931339126216497</v>
      </c>
      <c r="M233" s="8">
        <f t="shared" si="25"/>
        <v>2.7826508436530952</v>
      </c>
      <c r="N233" s="2">
        <v>51</v>
      </c>
      <c r="O233" s="2">
        <v>60</v>
      </c>
      <c r="P233" s="2">
        <v>69</v>
      </c>
      <c r="S233" s="22">
        <f t="shared" si="26"/>
        <v>60</v>
      </c>
      <c r="T233" s="25">
        <f t="shared" si="27"/>
        <v>9</v>
      </c>
    </row>
    <row r="234" spans="1:20" x14ac:dyDescent="0.2">
      <c r="A234" s="7" t="s">
        <v>17</v>
      </c>
      <c r="B234" s="1">
        <v>5</v>
      </c>
      <c r="C234" s="1">
        <v>32.5</v>
      </c>
      <c r="D234" s="1">
        <v>10</v>
      </c>
      <c r="E234" s="7">
        <v>17.55</v>
      </c>
      <c r="F234" s="1">
        <v>10</v>
      </c>
      <c r="G234" s="1">
        <v>2</v>
      </c>
      <c r="H234" s="1">
        <v>4</v>
      </c>
      <c r="I234" s="18">
        <f t="shared" si="32"/>
        <v>250.82475746260911</v>
      </c>
      <c r="J234" s="5">
        <f t="shared" si="33"/>
        <v>452.180762093628</v>
      </c>
      <c r="K234" s="5">
        <f t="shared" si="23"/>
        <v>25.082475746260911</v>
      </c>
      <c r="L234" s="30">
        <f t="shared" si="24"/>
        <v>1.2931339126216497</v>
      </c>
      <c r="M234" s="8">
        <f t="shared" si="25"/>
        <v>5.5653016873061905</v>
      </c>
      <c r="N234" s="2">
        <v>97</v>
      </c>
      <c r="O234" s="2">
        <v>75</v>
      </c>
      <c r="P234" s="2">
        <v>90</v>
      </c>
      <c r="S234" s="22">
        <f t="shared" si="26"/>
        <v>87.333333333333329</v>
      </c>
      <c r="T234" s="25">
        <f t="shared" si="27"/>
        <v>11.239810200058271</v>
      </c>
    </row>
    <row r="235" spans="1:20" x14ac:dyDescent="0.2">
      <c r="A235" s="7" t="s">
        <v>17</v>
      </c>
      <c r="B235" s="1">
        <v>5</v>
      </c>
      <c r="C235" s="1">
        <v>32.5</v>
      </c>
      <c r="D235" s="1">
        <v>10</v>
      </c>
      <c r="E235" s="7">
        <v>17.55</v>
      </c>
      <c r="F235" s="1">
        <v>10</v>
      </c>
      <c r="G235" s="1">
        <v>3</v>
      </c>
      <c r="H235" s="1">
        <v>4</v>
      </c>
      <c r="I235" s="18">
        <f t="shared" si="32"/>
        <v>376.23713619391361</v>
      </c>
      <c r="J235" s="5">
        <f t="shared" si="33"/>
        <v>678.27114314044195</v>
      </c>
      <c r="K235" s="5">
        <f t="shared" si="23"/>
        <v>37.62371361939136</v>
      </c>
      <c r="L235" s="30">
        <f t="shared" si="24"/>
        <v>1.2931339126216497</v>
      </c>
      <c r="M235" s="8">
        <f t="shared" si="25"/>
        <v>8.3479525309592866</v>
      </c>
      <c r="N235" s="2">
        <v>65</v>
      </c>
      <c r="O235" s="2">
        <v>40</v>
      </c>
      <c r="P235" s="2">
        <v>53</v>
      </c>
      <c r="S235" s="22">
        <f t="shared" si="26"/>
        <v>52.666666666666664</v>
      </c>
      <c r="T235" s="25">
        <f t="shared" si="27"/>
        <v>12.503332889007355</v>
      </c>
    </row>
    <row r="236" spans="1:20" x14ac:dyDescent="0.2">
      <c r="A236" s="7" t="s">
        <v>17</v>
      </c>
      <c r="B236" s="1">
        <v>5</v>
      </c>
      <c r="C236" s="1">
        <v>32.5</v>
      </c>
      <c r="D236" s="1">
        <v>10</v>
      </c>
      <c r="E236" s="7">
        <v>17.55</v>
      </c>
      <c r="F236" s="1">
        <v>10</v>
      </c>
      <c r="G236" s="1">
        <v>4</v>
      </c>
      <c r="H236" s="1">
        <v>4</v>
      </c>
      <c r="I236" s="18">
        <f t="shared" si="32"/>
        <v>501.64951492521823</v>
      </c>
      <c r="J236" s="5">
        <f t="shared" si="33"/>
        <v>904.36152418725601</v>
      </c>
      <c r="K236" s="5">
        <f t="shared" si="23"/>
        <v>50.164951492521823</v>
      </c>
      <c r="L236" s="30">
        <f t="shared" si="24"/>
        <v>1.2931339126216497</v>
      </c>
      <c r="M236" s="8">
        <f t="shared" si="25"/>
        <v>11.130603374612381</v>
      </c>
      <c r="N236" s="2">
        <v>32</v>
      </c>
      <c r="O236" s="2">
        <v>25</v>
      </c>
      <c r="P236" s="2">
        <v>28</v>
      </c>
      <c r="S236" s="22">
        <f t="shared" si="26"/>
        <v>28.333333333333332</v>
      </c>
      <c r="T236" s="25">
        <f t="shared" si="27"/>
        <v>3.5118845842842354</v>
      </c>
    </row>
    <row r="237" spans="1:20" x14ac:dyDescent="0.2">
      <c r="A237" s="7" t="s">
        <v>17</v>
      </c>
      <c r="B237" s="1">
        <v>5</v>
      </c>
      <c r="C237" s="1">
        <v>32.5</v>
      </c>
      <c r="D237" s="1">
        <v>10</v>
      </c>
      <c r="E237" s="7">
        <v>17.55</v>
      </c>
      <c r="F237" s="1">
        <v>10</v>
      </c>
      <c r="G237" s="1">
        <v>5</v>
      </c>
      <c r="H237" s="1">
        <v>4</v>
      </c>
      <c r="I237" s="18">
        <f t="shared" si="32"/>
        <v>627.06189365652278</v>
      </c>
      <c r="J237" s="5">
        <f t="shared" si="33"/>
        <v>1130.45190523407</v>
      </c>
      <c r="K237" s="5">
        <f t="shared" si="23"/>
        <v>62.706189365652278</v>
      </c>
      <c r="L237" s="30">
        <f t="shared" si="24"/>
        <v>1.2931339126216497</v>
      </c>
      <c r="M237" s="8">
        <f t="shared" si="25"/>
        <v>13.913254218265475</v>
      </c>
      <c r="N237" s="2">
        <v>23</v>
      </c>
      <c r="O237" s="2">
        <v>20</v>
      </c>
      <c r="P237" s="2">
        <v>24</v>
      </c>
      <c r="S237" s="22">
        <f t="shared" si="26"/>
        <v>22.333333333333332</v>
      </c>
      <c r="T237" s="25">
        <f t="shared" si="27"/>
        <v>2.0816659994661331</v>
      </c>
    </row>
    <row r="238" spans="1:20" x14ac:dyDescent="0.2">
      <c r="A238" s="7" t="s">
        <v>17</v>
      </c>
      <c r="B238" s="1">
        <v>5</v>
      </c>
      <c r="C238" s="1">
        <v>32.5</v>
      </c>
      <c r="D238" s="1">
        <v>10</v>
      </c>
      <c r="E238" s="7">
        <v>17.55</v>
      </c>
      <c r="F238" s="1">
        <v>10</v>
      </c>
      <c r="G238" s="1">
        <v>1</v>
      </c>
      <c r="H238" s="1">
        <v>8</v>
      </c>
      <c r="I238" s="18">
        <f t="shared" si="32"/>
        <v>250.82475746260911</v>
      </c>
      <c r="J238" s="5">
        <f t="shared" si="33"/>
        <v>452.180762093628</v>
      </c>
      <c r="K238" s="5">
        <f t="shared" si="23"/>
        <v>25.082475746260911</v>
      </c>
      <c r="L238" s="30">
        <f t="shared" si="24"/>
        <v>0.64656695631082484</v>
      </c>
      <c r="M238" s="8">
        <f t="shared" si="25"/>
        <v>11.130603374612381</v>
      </c>
      <c r="N238" s="2">
        <v>26</v>
      </c>
      <c r="O238" s="2">
        <v>24</v>
      </c>
      <c r="P238" s="2">
        <v>30</v>
      </c>
      <c r="S238" s="22">
        <f t="shared" si="26"/>
        <v>26.666666666666668</v>
      </c>
      <c r="T238" s="25">
        <f t="shared" si="27"/>
        <v>3.0550504633038935</v>
      </c>
    </row>
    <row r="239" spans="1:20" x14ac:dyDescent="0.2">
      <c r="A239" s="7" t="s">
        <v>17</v>
      </c>
      <c r="B239" s="1">
        <v>5</v>
      </c>
      <c r="C239" s="1">
        <v>32.5</v>
      </c>
      <c r="D239" s="1">
        <v>10</v>
      </c>
      <c r="E239" s="7">
        <v>17.55</v>
      </c>
      <c r="F239" s="1">
        <v>10</v>
      </c>
      <c r="G239" s="1">
        <v>2</v>
      </c>
      <c r="H239" s="1">
        <v>8</v>
      </c>
      <c r="I239" s="18">
        <f t="shared" si="32"/>
        <v>501.64951492521823</v>
      </c>
      <c r="J239" s="5">
        <f t="shared" si="33"/>
        <v>904.36152418725601</v>
      </c>
      <c r="K239" s="5">
        <f t="shared" si="23"/>
        <v>50.164951492521823</v>
      </c>
      <c r="L239" s="30">
        <f t="shared" si="24"/>
        <v>0.64656695631082484</v>
      </c>
      <c r="M239" s="8">
        <f t="shared" si="25"/>
        <v>22.261206749224762</v>
      </c>
      <c r="N239" s="2">
        <v>17</v>
      </c>
      <c r="O239" s="2">
        <v>11</v>
      </c>
      <c r="P239" s="2">
        <v>13</v>
      </c>
      <c r="S239" s="22">
        <f t="shared" si="26"/>
        <v>13.666666666666666</v>
      </c>
      <c r="T239" s="25">
        <f t="shared" si="27"/>
        <v>3.0550504633038904</v>
      </c>
    </row>
    <row r="240" spans="1:20" x14ac:dyDescent="0.2">
      <c r="A240" s="7" t="s">
        <v>17</v>
      </c>
      <c r="B240" s="1">
        <v>5</v>
      </c>
      <c r="C240" s="1">
        <v>32.5</v>
      </c>
      <c r="D240" s="1">
        <v>10</v>
      </c>
      <c r="E240" s="7">
        <v>17.55</v>
      </c>
      <c r="F240" s="1">
        <v>10</v>
      </c>
      <c r="G240" s="1">
        <v>3</v>
      </c>
      <c r="H240" s="1">
        <v>8</v>
      </c>
      <c r="I240" s="18">
        <f t="shared" si="32"/>
        <v>752.47427238782723</v>
      </c>
      <c r="J240" s="5">
        <f t="shared" si="33"/>
        <v>1356.5422862808839</v>
      </c>
      <c r="K240" s="5">
        <f t="shared" si="23"/>
        <v>75.24742723878272</v>
      </c>
      <c r="L240" s="30">
        <f t="shared" si="24"/>
        <v>0.64656695631082484</v>
      </c>
      <c r="M240" s="8">
        <f t="shared" si="25"/>
        <v>33.391810123837146</v>
      </c>
      <c r="N240" s="2">
        <v>9</v>
      </c>
      <c r="O240" s="2">
        <v>7</v>
      </c>
      <c r="P240" s="2">
        <v>9</v>
      </c>
      <c r="S240" s="22">
        <f t="shared" si="26"/>
        <v>8.3333333333333339</v>
      </c>
      <c r="T240" s="25">
        <f t="shared" si="27"/>
        <v>1.1547005383792495</v>
      </c>
    </row>
    <row r="241" spans="1:20" x14ac:dyDescent="0.2">
      <c r="A241" s="7" t="s">
        <v>17</v>
      </c>
      <c r="B241" s="1">
        <v>5</v>
      </c>
      <c r="C241" s="1">
        <v>32.5</v>
      </c>
      <c r="D241" s="1">
        <v>10</v>
      </c>
      <c r="E241" s="7">
        <v>17.55</v>
      </c>
      <c r="F241" s="1">
        <v>10</v>
      </c>
      <c r="G241" s="1">
        <v>4</v>
      </c>
      <c r="H241" s="1">
        <v>8</v>
      </c>
      <c r="I241" s="18">
        <f t="shared" si="32"/>
        <v>1003.2990298504365</v>
      </c>
      <c r="J241" s="5">
        <f t="shared" si="33"/>
        <v>1808.723048374512</v>
      </c>
      <c r="K241" s="5">
        <f t="shared" si="23"/>
        <v>100.32990298504365</v>
      </c>
      <c r="L241" s="30">
        <f t="shared" si="24"/>
        <v>0.64656695631082484</v>
      </c>
      <c r="M241" s="8">
        <f t="shared" si="25"/>
        <v>44.522413498449524</v>
      </c>
      <c r="N241" s="2">
        <v>7</v>
      </c>
      <c r="O241" s="2">
        <v>7</v>
      </c>
      <c r="P241" s="2">
        <v>8</v>
      </c>
      <c r="S241" s="22">
        <f t="shared" si="26"/>
        <v>7.333333333333333</v>
      </c>
      <c r="T241" s="25">
        <f t="shared" si="27"/>
        <v>0.57735026918962584</v>
      </c>
    </row>
    <row r="242" spans="1:20" x14ac:dyDescent="0.2">
      <c r="A242" s="7" t="s">
        <v>17</v>
      </c>
      <c r="B242" s="1">
        <v>5</v>
      </c>
      <c r="C242" s="1">
        <v>32.5</v>
      </c>
      <c r="D242" s="1">
        <v>10</v>
      </c>
      <c r="E242" s="7">
        <v>17.55</v>
      </c>
      <c r="F242" s="1">
        <v>50</v>
      </c>
      <c r="G242" s="1">
        <v>0</v>
      </c>
      <c r="H242" s="1">
        <v>0</v>
      </c>
      <c r="I242" s="18">
        <f t="shared" si="32"/>
        <v>0</v>
      </c>
      <c r="J242" s="5">
        <f t="shared" si="33"/>
        <v>0</v>
      </c>
      <c r="K242" s="5">
        <f t="shared" si="23"/>
        <v>0</v>
      </c>
      <c r="L242" s="30" t="e">
        <f t="shared" si="24"/>
        <v>#DIV/0!</v>
      </c>
      <c r="M242" s="8">
        <f t="shared" si="25"/>
        <v>0</v>
      </c>
      <c r="N242" s="2">
        <v>26</v>
      </c>
      <c r="O242" s="2">
        <v>23</v>
      </c>
      <c r="P242" s="2">
        <v>18</v>
      </c>
      <c r="S242" s="22">
        <f t="shared" si="26"/>
        <v>22.333333333333332</v>
      </c>
      <c r="T242" s="25">
        <f t="shared" si="27"/>
        <v>4.041451884327385</v>
      </c>
    </row>
    <row r="243" spans="1:20" x14ac:dyDescent="0.2">
      <c r="A243" s="7" t="s">
        <v>17</v>
      </c>
      <c r="B243" s="1">
        <v>5</v>
      </c>
      <c r="C243" s="1">
        <v>32.5</v>
      </c>
      <c r="D243" s="1">
        <v>10</v>
      </c>
      <c r="E243" s="7">
        <v>17.55</v>
      </c>
      <c r="F243" s="1">
        <v>50</v>
      </c>
      <c r="G243" s="1">
        <v>1</v>
      </c>
      <c r="H243" s="1">
        <v>1</v>
      </c>
      <c r="I243" s="18">
        <f t="shared" si="32"/>
        <v>31.353094682826139</v>
      </c>
      <c r="J243" s="5">
        <f t="shared" si="33"/>
        <v>56.522595261703501</v>
      </c>
      <c r="K243" s="5">
        <f t="shared" si="23"/>
        <v>0.62706189365652276</v>
      </c>
      <c r="L243" s="30">
        <f t="shared" si="24"/>
        <v>5.1725356504865987</v>
      </c>
      <c r="M243" s="8">
        <f t="shared" si="25"/>
        <v>3.4783135545663695E-2</v>
      </c>
      <c r="N243" s="2">
        <v>18</v>
      </c>
      <c r="O243" s="2">
        <v>30</v>
      </c>
      <c r="P243" s="2">
        <v>34</v>
      </c>
      <c r="S243" s="22">
        <f t="shared" si="26"/>
        <v>27.333333333333332</v>
      </c>
      <c r="T243" s="25">
        <f t="shared" si="27"/>
        <v>8.3266639978645269</v>
      </c>
    </row>
    <row r="244" spans="1:20" x14ac:dyDescent="0.2">
      <c r="A244" s="7" t="s">
        <v>17</v>
      </c>
      <c r="B244" s="1">
        <v>5</v>
      </c>
      <c r="C244" s="1">
        <v>32.5</v>
      </c>
      <c r="D244" s="1">
        <v>10</v>
      </c>
      <c r="E244" s="7">
        <v>17.55</v>
      </c>
      <c r="F244" s="1">
        <v>50</v>
      </c>
      <c r="G244" s="1">
        <v>2</v>
      </c>
      <c r="H244" s="1">
        <v>1</v>
      </c>
      <c r="I244" s="18">
        <f t="shared" si="32"/>
        <v>62.706189365652278</v>
      </c>
      <c r="J244" s="5">
        <f t="shared" si="33"/>
        <v>113.045190523407</v>
      </c>
      <c r="K244" s="5">
        <f t="shared" si="23"/>
        <v>1.2541237873130455</v>
      </c>
      <c r="L244" s="30">
        <f t="shared" si="24"/>
        <v>5.1725356504865987</v>
      </c>
      <c r="M244" s="8">
        <f t="shared" si="25"/>
        <v>6.9566271091327389E-2</v>
      </c>
      <c r="N244" s="2">
        <v>27</v>
      </c>
      <c r="O244" s="2">
        <v>15</v>
      </c>
      <c r="P244" s="2">
        <v>25</v>
      </c>
      <c r="S244" s="22">
        <f t="shared" si="26"/>
        <v>22.333333333333332</v>
      </c>
      <c r="T244" s="25">
        <f t="shared" si="27"/>
        <v>6.4291005073286396</v>
      </c>
    </row>
    <row r="245" spans="1:20" x14ac:dyDescent="0.2">
      <c r="A245" s="7" t="s">
        <v>17</v>
      </c>
      <c r="B245" s="1">
        <v>5</v>
      </c>
      <c r="C245" s="1">
        <v>32.5</v>
      </c>
      <c r="D245" s="1">
        <v>10</v>
      </c>
      <c r="E245" s="7">
        <v>17.55</v>
      </c>
      <c r="F245" s="1">
        <v>50</v>
      </c>
      <c r="G245" s="1">
        <v>3</v>
      </c>
      <c r="H245" s="1">
        <v>1</v>
      </c>
      <c r="I245" s="18">
        <f t="shared" si="32"/>
        <v>94.059284048478403</v>
      </c>
      <c r="J245" s="5">
        <f t="shared" si="33"/>
        <v>169.56778578511049</v>
      </c>
      <c r="K245" s="5">
        <f t="shared" si="23"/>
        <v>1.8811856809695682</v>
      </c>
      <c r="L245" s="30">
        <f t="shared" si="24"/>
        <v>5.1725356504865987</v>
      </c>
      <c r="M245" s="8">
        <f t="shared" si="25"/>
        <v>0.10434940663699108</v>
      </c>
      <c r="N245" s="2">
        <v>32</v>
      </c>
      <c r="O245" s="2">
        <v>20</v>
      </c>
      <c r="P245" s="2">
        <v>23</v>
      </c>
      <c r="S245" s="22">
        <f t="shared" si="26"/>
        <v>25</v>
      </c>
      <c r="T245" s="25">
        <f t="shared" si="27"/>
        <v>6.2449979983983983</v>
      </c>
    </row>
    <row r="246" spans="1:20" x14ac:dyDescent="0.2">
      <c r="A246" s="7" t="s">
        <v>17</v>
      </c>
      <c r="B246" s="1">
        <v>5</v>
      </c>
      <c r="C246" s="1">
        <v>32.5</v>
      </c>
      <c r="D246" s="1">
        <v>10</v>
      </c>
      <c r="E246" s="7">
        <v>17.55</v>
      </c>
      <c r="F246" s="1">
        <v>50</v>
      </c>
      <c r="G246" s="1">
        <v>4</v>
      </c>
      <c r="H246" s="1">
        <v>1</v>
      </c>
      <c r="I246" s="18">
        <f t="shared" si="32"/>
        <v>125.41237873130456</v>
      </c>
      <c r="J246" s="5">
        <f t="shared" si="33"/>
        <v>226.090381046814</v>
      </c>
      <c r="K246" s="5">
        <f t="shared" si="23"/>
        <v>2.508247574626091</v>
      </c>
      <c r="L246" s="30">
        <f t="shared" si="24"/>
        <v>5.1725356504865987</v>
      </c>
      <c r="M246" s="8">
        <f t="shared" si="25"/>
        <v>0.13913254218265478</v>
      </c>
      <c r="N246" s="2">
        <v>22</v>
      </c>
      <c r="O246" s="2">
        <v>21</v>
      </c>
      <c r="P246" s="2">
        <v>23</v>
      </c>
      <c r="S246" s="22">
        <f t="shared" si="26"/>
        <v>22</v>
      </c>
      <c r="T246" s="25">
        <f t="shared" si="27"/>
        <v>1</v>
      </c>
    </row>
    <row r="247" spans="1:20" x14ac:dyDescent="0.2">
      <c r="A247" s="7" t="s">
        <v>17</v>
      </c>
      <c r="B247" s="1">
        <v>5</v>
      </c>
      <c r="C247" s="1">
        <v>32.5</v>
      </c>
      <c r="D247" s="1">
        <v>10</v>
      </c>
      <c r="E247" s="7">
        <v>17.55</v>
      </c>
      <c r="F247" s="1">
        <v>50</v>
      </c>
      <c r="G247" s="1">
        <v>5</v>
      </c>
      <c r="H247" s="1">
        <v>1</v>
      </c>
      <c r="I247" s="18">
        <f t="shared" si="32"/>
        <v>156.7654734141307</v>
      </c>
      <c r="J247" s="5">
        <f t="shared" si="33"/>
        <v>282.61297630851749</v>
      </c>
      <c r="K247" s="5">
        <f t="shared" si="23"/>
        <v>3.1353094682826139</v>
      </c>
      <c r="L247" s="30">
        <f t="shared" si="24"/>
        <v>5.1725356504865987</v>
      </c>
      <c r="M247" s="8">
        <f t="shared" si="25"/>
        <v>0.17391567772831845</v>
      </c>
      <c r="N247" s="2">
        <v>17</v>
      </c>
      <c r="O247" s="2">
        <v>18</v>
      </c>
      <c r="P247" s="2">
        <v>21</v>
      </c>
      <c r="S247" s="22">
        <f t="shared" si="26"/>
        <v>18.666666666666668</v>
      </c>
      <c r="T247" s="25">
        <f t="shared" si="27"/>
        <v>2.0816659994661331</v>
      </c>
    </row>
    <row r="248" spans="1:20" x14ac:dyDescent="0.2">
      <c r="A248" s="7" t="s">
        <v>17</v>
      </c>
      <c r="B248" s="1">
        <v>5</v>
      </c>
      <c r="C248" s="1">
        <v>32.5</v>
      </c>
      <c r="D248" s="1">
        <v>10</v>
      </c>
      <c r="E248" s="7">
        <v>17.55</v>
      </c>
      <c r="F248" s="1">
        <v>50</v>
      </c>
      <c r="G248" s="1">
        <v>1</v>
      </c>
      <c r="H248" s="1">
        <v>2</v>
      </c>
      <c r="I248" s="18">
        <f t="shared" si="32"/>
        <v>62.706189365652278</v>
      </c>
      <c r="J248" s="5">
        <f t="shared" si="33"/>
        <v>113.045190523407</v>
      </c>
      <c r="K248" s="5">
        <f t="shared" si="23"/>
        <v>1.2541237873130455</v>
      </c>
      <c r="L248" s="30">
        <f t="shared" si="24"/>
        <v>2.5862678252432993</v>
      </c>
      <c r="M248" s="8">
        <f t="shared" si="25"/>
        <v>0.13913254218265478</v>
      </c>
      <c r="N248" s="2">
        <v>17</v>
      </c>
      <c r="O248" s="2">
        <v>16</v>
      </c>
      <c r="P248" s="2">
        <v>21</v>
      </c>
      <c r="S248" s="22">
        <f t="shared" si="26"/>
        <v>18</v>
      </c>
      <c r="T248" s="25">
        <f t="shared" si="27"/>
        <v>2.6457513110645907</v>
      </c>
    </row>
    <row r="249" spans="1:20" x14ac:dyDescent="0.2">
      <c r="A249" s="7" t="s">
        <v>17</v>
      </c>
      <c r="B249" s="1">
        <v>5</v>
      </c>
      <c r="C249" s="1">
        <v>32.5</v>
      </c>
      <c r="D249" s="1">
        <v>10</v>
      </c>
      <c r="E249" s="7">
        <v>17.55</v>
      </c>
      <c r="F249" s="1">
        <v>50</v>
      </c>
      <c r="G249" s="1">
        <v>2</v>
      </c>
      <c r="H249" s="1">
        <v>2</v>
      </c>
      <c r="I249" s="18">
        <f t="shared" si="32"/>
        <v>125.41237873130456</v>
      </c>
      <c r="J249" s="5">
        <f t="shared" si="33"/>
        <v>226.090381046814</v>
      </c>
      <c r="K249" s="5">
        <f t="shared" si="23"/>
        <v>2.508247574626091</v>
      </c>
      <c r="L249" s="30">
        <f t="shared" si="24"/>
        <v>2.5862678252432993</v>
      </c>
      <c r="M249" s="8">
        <f t="shared" si="25"/>
        <v>0.27826508436530956</v>
      </c>
      <c r="N249" s="2">
        <v>27</v>
      </c>
      <c r="O249" s="2">
        <v>30</v>
      </c>
      <c r="P249" s="2">
        <v>43</v>
      </c>
      <c r="S249" s="22">
        <f t="shared" si="26"/>
        <v>33.333333333333336</v>
      </c>
      <c r="T249" s="25">
        <f t="shared" si="27"/>
        <v>8.5049005481153781</v>
      </c>
    </row>
    <row r="250" spans="1:20" x14ac:dyDescent="0.2">
      <c r="A250" s="7" t="s">
        <v>17</v>
      </c>
      <c r="B250" s="1">
        <v>5</v>
      </c>
      <c r="C250" s="1">
        <v>32.5</v>
      </c>
      <c r="D250" s="1">
        <v>10</v>
      </c>
      <c r="E250" s="7">
        <v>17.55</v>
      </c>
      <c r="F250" s="1">
        <v>50</v>
      </c>
      <c r="G250" s="1">
        <v>3</v>
      </c>
      <c r="H250" s="1">
        <v>2</v>
      </c>
      <c r="I250" s="18">
        <f t="shared" si="32"/>
        <v>188.11856809695681</v>
      </c>
      <c r="J250" s="5">
        <f t="shared" si="33"/>
        <v>339.13557157022097</v>
      </c>
      <c r="K250" s="5">
        <f t="shared" si="23"/>
        <v>3.7623713619391363</v>
      </c>
      <c r="L250" s="30">
        <f t="shared" si="24"/>
        <v>2.5862678252432993</v>
      </c>
      <c r="M250" s="8">
        <f t="shared" si="25"/>
        <v>0.41739762654796431</v>
      </c>
      <c r="N250" s="2">
        <v>36</v>
      </c>
      <c r="O250" s="2">
        <v>36</v>
      </c>
      <c r="P250" s="2">
        <v>50</v>
      </c>
      <c r="S250" s="22">
        <f t="shared" si="26"/>
        <v>40.666666666666664</v>
      </c>
      <c r="T250" s="25">
        <f t="shared" si="27"/>
        <v>8.08290376865477</v>
      </c>
    </row>
    <row r="251" spans="1:20" x14ac:dyDescent="0.2">
      <c r="A251" s="7" t="s">
        <v>17</v>
      </c>
      <c r="B251" s="1">
        <v>5</v>
      </c>
      <c r="C251" s="1">
        <v>32.5</v>
      </c>
      <c r="D251" s="1">
        <v>10</v>
      </c>
      <c r="E251" s="7">
        <v>17.55</v>
      </c>
      <c r="F251" s="1">
        <v>50</v>
      </c>
      <c r="G251" s="1">
        <v>4</v>
      </c>
      <c r="H251" s="1">
        <v>2</v>
      </c>
      <c r="I251" s="18">
        <f t="shared" si="32"/>
        <v>250.82475746260911</v>
      </c>
      <c r="J251" s="5">
        <f t="shared" si="33"/>
        <v>452.180762093628</v>
      </c>
      <c r="K251" s="5">
        <f t="shared" si="23"/>
        <v>5.0164951492521821</v>
      </c>
      <c r="L251" s="30">
        <f t="shared" si="24"/>
        <v>2.5862678252432993</v>
      </c>
      <c r="M251" s="8">
        <f t="shared" si="25"/>
        <v>0.55653016873061911</v>
      </c>
      <c r="N251" s="2">
        <v>42</v>
      </c>
      <c r="O251" s="2">
        <v>48</v>
      </c>
      <c r="P251" s="2">
        <v>52</v>
      </c>
      <c r="S251" s="22">
        <f t="shared" si="26"/>
        <v>47.333333333333336</v>
      </c>
      <c r="T251" s="25">
        <f t="shared" si="27"/>
        <v>5.0332229568471671</v>
      </c>
    </row>
    <row r="252" spans="1:20" x14ac:dyDescent="0.2">
      <c r="A252" s="7" t="s">
        <v>17</v>
      </c>
      <c r="B252" s="1">
        <v>5</v>
      </c>
      <c r="C252" s="1">
        <v>32.5</v>
      </c>
      <c r="D252" s="1">
        <v>10</v>
      </c>
      <c r="E252" s="7">
        <v>17.55</v>
      </c>
      <c r="F252" s="1">
        <v>50</v>
      </c>
      <c r="G252" s="1">
        <v>5</v>
      </c>
      <c r="H252" s="1">
        <v>2</v>
      </c>
      <c r="I252" s="18">
        <f t="shared" si="32"/>
        <v>313.53094682826139</v>
      </c>
      <c r="J252" s="5">
        <f t="shared" si="33"/>
        <v>565.22595261703498</v>
      </c>
      <c r="K252" s="5">
        <f t="shared" si="23"/>
        <v>6.2706189365652278</v>
      </c>
      <c r="L252" s="30">
        <f t="shared" si="24"/>
        <v>2.5862678252432993</v>
      </c>
      <c r="M252" s="8">
        <f t="shared" si="25"/>
        <v>0.69566271091327381</v>
      </c>
      <c r="N252" s="2">
        <v>51</v>
      </c>
      <c r="O252" s="2">
        <v>57</v>
      </c>
      <c r="P252" s="2">
        <v>61</v>
      </c>
      <c r="S252" s="22">
        <f t="shared" si="26"/>
        <v>56.333333333333336</v>
      </c>
      <c r="T252" s="25">
        <f t="shared" si="27"/>
        <v>5.0332229568471671</v>
      </c>
    </row>
    <row r="253" spans="1:20" x14ac:dyDescent="0.2">
      <c r="A253" s="7" t="s">
        <v>17</v>
      </c>
      <c r="B253" s="1">
        <v>5</v>
      </c>
      <c r="C253" s="1">
        <v>32.5</v>
      </c>
      <c r="D253" s="1">
        <v>10</v>
      </c>
      <c r="E253" s="7">
        <v>17.55</v>
      </c>
      <c r="F253" s="1">
        <v>50</v>
      </c>
      <c r="G253" s="1">
        <v>6</v>
      </c>
      <c r="H253" s="1">
        <v>2</v>
      </c>
      <c r="I253" s="18">
        <f t="shared" si="32"/>
        <v>376.23713619391361</v>
      </c>
      <c r="J253" s="5">
        <f t="shared" si="33"/>
        <v>678.27114314044195</v>
      </c>
      <c r="K253" s="5">
        <f t="shared" si="23"/>
        <v>7.5247427238782727</v>
      </c>
      <c r="L253" s="30">
        <f t="shared" si="24"/>
        <v>2.5862678252432993</v>
      </c>
      <c r="M253" s="8">
        <f t="shared" si="25"/>
        <v>0.83479525309592861</v>
      </c>
      <c r="N253" s="2">
        <v>48</v>
      </c>
      <c r="O253" s="2">
        <v>44</v>
      </c>
      <c r="P253" s="2">
        <v>47</v>
      </c>
      <c r="S253" s="22">
        <f t="shared" si="26"/>
        <v>46.333333333333336</v>
      </c>
      <c r="T253" s="25">
        <f t="shared" si="27"/>
        <v>2.0816659994661326</v>
      </c>
    </row>
    <row r="254" spans="1:20" x14ac:dyDescent="0.2">
      <c r="A254" s="7" t="s">
        <v>17</v>
      </c>
      <c r="B254" s="1">
        <v>5</v>
      </c>
      <c r="C254" s="1">
        <v>32.5</v>
      </c>
      <c r="D254" s="1">
        <v>10</v>
      </c>
      <c r="E254" s="7">
        <v>17.55</v>
      </c>
      <c r="F254" s="1">
        <v>50</v>
      </c>
      <c r="G254" s="1">
        <v>7</v>
      </c>
      <c r="H254" s="1">
        <v>2</v>
      </c>
      <c r="I254" s="18">
        <f t="shared" si="32"/>
        <v>438.94332555956589</v>
      </c>
      <c r="J254" s="5">
        <f t="shared" si="33"/>
        <v>791.31633366384892</v>
      </c>
      <c r="K254" s="5">
        <f t="shared" si="23"/>
        <v>8.7788665111913176</v>
      </c>
      <c r="L254" s="30">
        <f t="shared" si="24"/>
        <v>2.5862678252432993</v>
      </c>
      <c r="M254" s="8">
        <f t="shared" si="25"/>
        <v>0.97392779527858342</v>
      </c>
      <c r="N254" s="2">
        <v>26</v>
      </c>
      <c r="O254" s="2">
        <v>32</v>
      </c>
      <c r="P254" s="2">
        <v>39</v>
      </c>
      <c r="S254" s="22">
        <f t="shared" si="26"/>
        <v>32.333333333333336</v>
      </c>
      <c r="T254" s="25">
        <f t="shared" si="27"/>
        <v>6.5064070986477063</v>
      </c>
    </row>
    <row r="255" spans="1:20" x14ac:dyDescent="0.2">
      <c r="A255" s="7" t="s">
        <v>17</v>
      </c>
      <c r="B255" s="1">
        <v>5</v>
      </c>
      <c r="C255" s="1">
        <v>32.5</v>
      </c>
      <c r="D255" s="1">
        <v>10</v>
      </c>
      <c r="E255" s="7">
        <v>17.55</v>
      </c>
      <c r="F255" s="1">
        <v>50</v>
      </c>
      <c r="G255" s="1">
        <v>1</v>
      </c>
      <c r="H255" s="1">
        <v>3</v>
      </c>
      <c r="I255" s="18">
        <f t="shared" si="32"/>
        <v>94.059284048478403</v>
      </c>
      <c r="J255" s="5">
        <f t="shared" si="33"/>
        <v>169.56778578511049</v>
      </c>
      <c r="K255" s="5">
        <f t="shared" si="23"/>
        <v>1.8811856809695682</v>
      </c>
      <c r="L255" s="30">
        <f t="shared" si="24"/>
        <v>1.7241785501621996</v>
      </c>
      <c r="M255" s="8">
        <f t="shared" si="25"/>
        <v>0.31304821991097326</v>
      </c>
      <c r="N255" s="2">
        <v>20</v>
      </c>
      <c r="O255" s="2">
        <v>23</v>
      </c>
      <c r="P255" s="2">
        <v>20</v>
      </c>
      <c r="S255" s="22">
        <f t="shared" si="26"/>
        <v>21</v>
      </c>
      <c r="T255" s="25">
        <f t="shared" si="27"/>
        <v>1.7320508075688772</v>
      </c>
    </row>
    <row r="256" spans="1:20" x14ac:dyDescent="0.2">
      <c r="A256" s="7" t="s">
        <v>17</v>
      </c>
      <c r="B256" s="1">
        <v>5</v>
      </c>
      <c r="C256" s="1">
        <v>32.5</v>
      </c>
      <c r="D256" s="1">
        <v>10</v>
      </c>
      <c r="E256" s="7">
        <v>17.55</v>
      </c>
      <c r="F256" s="1">
        <v>50</v>
      </c>
      <c r="G256" s="1">
        <v>2</v>
      </c>
      <c r="H256" s="1">
        <v>3</v>
      </c>
      <c r="I256" s="18">
        <f t="shared" si="32"/>
        <v>188.11856809695681</v>
      </c>
      <c r="J256" s="5">
        <f t="shared" si="33"/>
        <v>339.13557157022097</v>
      </c>
      <c r="K256" s="5">
        <f t="shared" si="23"/>
        <v>3.7623713619391363</v>
      </c>
      <c r="L256" s="30">
        <f t="shared" si="24"/>
        <v>1.7241785501621996</v>
      </c>
      <c r="M256" s="8">
        <f t="shared" si="25"/>
        <v>0.62609643982194652</v>
      </c>
      <c r="N256" s="2">
        <v>52</v>
      </c>
      <c r="O256" s="2">
        <v>54</v>
      </c>
      <c r="P256" s="2">
        <v>44</v>
      </c>
      <c r="S256" s="22">
        <f t="shared" si="26"/>
        <v>50</v>
      </c>
      <c r="T256" s="25">
        <f t="shared" si="27"/>
        <v>5.2915026221291814</v>
      </c>
    </row>
    <row r="257" spans="1:20" x14ac:dyDescent="0.2">
      <c r="A257" s="7" t="s">
        <v>17</v>
      </c>
      <c r="B257" s="1">
        <v>5</v>
      </c>
      <c r="C257" s="1">
        <v>32.5</v>
      </c>
      <c r="D257" s="1">
        <v>10</v>
      </c>
      <c r="E257" s="7">
        <v>17.55</v>
      </c>
      <c r="F257" s="1">
        <v>50</v>
      </c>
      <c r="G257" s="1">
        <v>3</v>
      </c>
      <c r="H257" s="1">
        <v>3</v>
      </c>
      <c r="I257" s="18">
        <f t="shared" si="32"/>
        <v>282.17785214543522</v>
      </c>
      <c r="J257" s="5">
        <f t="shared" si="33"/>
        <v>508.70335735533143</v>
      </c>
      <c r="K257" s="5">
        <f t="shared" si="23"/>
        <v>5.6435570429087045</v>
      </c>
      <c r="L257" s="30">
        <f t="shared" si="24"/>
        <v>1.7241785501621996</v>
      </c>
      <c r="M257" s="8">
        <f t="shared" si="25"/>
        <v>0.93914465973291972</v>
      </c>
      <c r="N257" s="2">
        <v>66</v>
      </c>
      <c r="O257" s="2">
        <v>70</v>
      </c>
      <c r="P257" s="2">
        <v>78</v>
      </c>
      <c r="S257" s="22">
        <f t="shared" si="26"/>
        <v>71.333333333333329</v>
      </c>
      <c r="T257" s="25">
        <f t="shared" si="27"/>
        <v>6.1101009266077861</v>
      </c>
    </row>
    <row r="258" spans="1:20" x14ac:dyDescent="0.2">
      <c r="A258" s="7" t="s">
        <v>17</v>
      </c>
      <c r="B258" s="1">
        <v>5</v>
      </c>
      <c r="C258" s="1">
        <v>32.5</v>
      </c>
      <c r="D258" s="1">
        <v>10</v>
      </c>
      <c r="E258" s="7">
        <v>17.55</v>
      </c>
      <c r="F258" s="1">
        <v>50</v>
      </c>
      <c r="G258" s="1">
        <v>4</v>
      </c>
      <c r="H258" s="1">
        <v>3</v>
      </c>
      <c r="I258" s="18">
        <f t="shared" si="32"/>
        <v>376.23713619391361</v>
      </c>
      <c r="J258" s="5">
        <f t="shared" si="33"/>
        <v>678.27114314044195</v>
      </c>
      <c r="K258" s="5">
        <f t="shared" si="23"/>
        <v>7.5247427238782727</v>
      </c>
      <c r="L258" s="30">
        <f t="shared" si="24"/>
        <v>1.7241785501621996</v>
      </c>
      <c r="M258" s="8">
        <f t="shared" si="25"/>
        <v>1.252192879643893</v>
      </c>
      <c r="N258" s="2">
        <v>71</v>
      </c>
      <c r="O258" s="2">
        <v>75</v>
      </c>
      <c r="P258" s="2">
        <v>85</v>
      </c>
      <c r="S258" s="22">
        <f t="shared" si="26"/>
        <v>77</v>
      </c>
      <c r="T258" s="25">
        <f t="shared" si="27"/>
        <v>7.2111025509279782</v>
      </c>
    </row>
    <row r="259" spans="1:20" x14ac:dyDescent="0.2">
      <c r="A259" s="7" t="s">
        <v>17</v>
      </c>
      <c r="B259" s="1">
        <v>5</v>
      </c>
      <c r="C259" s="1">
        <v>32.5</v>
      </c>
      <c r="D259" s="1">
        <v>10</v>
      </c>
      <c r="E259" s="7">
        <v>17.55</v>
      </c>
      <c r="F259" s="1">
        <v>50</v>
      </c>
      <c r="G259" s="1">
        <v>5</v>
      </c>
      <c r="H259" s="1">
        <v>3</v>
      </c>
      <c r="I259" s="18">
        <f t="shared" si="32"/>
        <v>470.29642024239212</v>
      </c>
      <c r="J259" s="5">
        <f t="shared" si="33"/>
        <v>847.83892892555252</v>
      </c>
      <c r="K259" s="5">
        <f t="shared" si="23"/>
        <v>9.4059284048478418</v>
      </c>
      <c r="L259" s="30">
        <f t="shared" si="24"/>
        <v>1.7241785501621996</v>
      </c>
      <c r="M259" s="8">
        <f t="shared" si="25"/>
        <v>1.5652410995548665</v>
      </c>
      <c r="N259" s="2">
        <v>73</v>
      </c>
      <c r="O259" s="2">
        <v>73</v>
      </c>
      <c r="P259" s="2">
        <v>92</v>
      </c>
      <c r="S259" s="22">
        <f t="shared" si="26"/>
        <v>79.333333333333329</v>
      </c>
      <c r="T259" s="25">
        <f t="shared" si="27"/>
        <v>10.969655114602917</v>
      </c>
    </row>
    <row r="260" spans="1:20" x14ac:dyDescent="0.2">
      <c r="A260" s="7" t="s">
        <v>17</v>
      </c>
      <c r="B260" s="1">
        <v>5</v>
      </c>
      <c r="C260" s="1">
        <v>32.5</v>
      </c>
      <c r="D260" s="1">
        <v>10</v>
      </c>
      <c r="E260" s="7">
        <v>17.55</v>
      </c>
      <c r="F260" s="1">
        <v>50</v>
      </c>
      <c r="G260" s="1">
        <v>6</v>
      </c>
      <c r="H260" s="1">
        <v>3</v>
      </c>
      <c r="I260" s="18">
        <f t="shared" si="32"/>
        <v>564.35570429087045</v>
      </c>
      <c r="J260" s="5">
        <f t="shared" si="33"/>
        <v>1017.4067147106629</v>
      </c>
      <c r="K260" s="5">
        <f t="shared" ref="K260:K323" si="34">I260/F260</f>
        <v>11.287114085817409</v>
      </c>
      <c r="L260" s="30">
        <f t="shared" ref="L260:L323" si="35">(C260/(2*PI()*H260))</f>
        <v>1.7241785501621996</v>
      </c>
      <c r="M260" s="8">
        <f t="shared" ref="M260:M323" si="36">((J260*(H260/C260))/F260)</f>
        <v>1.8782893194658394</v>
      </c>
      <c r="N260" s="2">
        <v>82</v>
      </c>
      <c r="O260" s="2">
        <v>75</v>
      </c>
      <c r="P260" s="2">
        <v>71</v>
      </c>
      <c r="S260" s="22">
        <f t="shared" ref="S260:S323" si="37">AVERAGE(N260:R260)</f>
        <v>76</v>
      </c>
      <c r="T260" s="25">
        <f t="shared" ref="T260:T323" si="38">STDEV(N260:R260)</f>
        <v>5.5677643628300215</v>
      </c>
    </row>
    <row r="261" spans="1:20" x14ac:dyDescent="0.2">
      <c r="A261" s="7" t="s">
        <v>17</v>
      </c>
      <c r="B261" s="1">
        <v>5</v>
      </c>
      <c r="C261" s="1">
        <v>32.5</v>
      </c>
      <c r="D261" s="1">
        <v>10</v>
      </c>
      <c r="E261" s="7">
        <v>17.55</v>
      </c>
      <c r="F261" s="1">
        <v>50</v>
      </c>
      <c r="G261" s="1">
        <v>1</v>
      </c>
      <c r="H261" s="1">
        <v>4</v>
      </c>
      <c r="I261" s="18">
        <f t="shared" si="32"/>
        <v>125.41237873130456</v>
      </c>
      <c r="J261" s="5">
        <f t="shared" si="33"/>
        <v>226.090381046814</v>
      </c>
      <c r="K261" s="5">
        <f t="shared" si="34"/>
        <v>2.508247574626091</v>
      </c>
      <c r="L261" s="30">
        <f t="shared" si="35"/>
        <v>1.2931339126216497</v>
      </c>
      <c r="M261" s="8">
        <f t="shared" si="36"/>
        <v>0.55653016873061911</v>
      </c>
      <c r="N261" s="2">
        <v>23</v>
      </c>
      <c r="O261" s="2">
        <v>24</v>
      </c>
      <c r="P261" s="2">
        <v>23</v>
      </c>
      <c r="S261" s="22">
        <f t="shared" si="37"/>
        <v>23.333333333333332</v>
      </c>
      <c r="T261" s="25">
        <f t="shared" si="38"/>
        <v>0.57735026918962584</v>
      </c>
    </row>
    <row r="262" spans="1:20" x14ac:dyDescent="0.2">
      <c r="A262" s="7" t="s">
        <v>17</v>
      </c>
      <c r="B262" s="1">
        <v>5</v>
      </c>
      <c r="C262" s="1">
        <v>32.5</v>
      </c>
      <c r="D262" s="1">
        <v>10</v>
      </c>
      <c r="E262" s="7">
        <v>17.55</v>
      </c>
      <c r="F262" s="1">
        <v>50</v>
      </c>
      <c r="G262" s="1">
        <v>2</v>
      </c>
      <c r="H262" s="1">
        <v>4</v>
      </c>
      <c r="I262" s="18">
        <f t="shared" si="32"/>
        <v>250.82475746260911</v>
      </c>
      <c r="J262" s="5">
        <f t="shared" si="33"/>
        <v>452.180762093628</v>
      </c>
      <c r="K262" s="5">
        <f t="shared" si="34"/>
        <v>5.0164951492521821</v>
      </c>
      <c r="L262" s="30">
        <f t="shared" si="35"/>
        <v>1.2931339126216497</v>
      </c>
      <c r="M262" s="8">
        <f t="shared" si="36"/>
        <v>1.1130603374612382</v>
      </c>
      <c r="N262" s="2">
        <v>54</v>
      </c>
      <c r="O262" s="2">
        <v>54</v>
      </c>
      <c r="P262" s="2">
        <v>62</v>
      </c>
      <c r="S262" s="22">
        <f t="shared" si="37"/>
        <v>56.666666666666664</v>
      </c>
      <c r="T262" s="25">
        <f t="shared" si="38"/>
        <v>4.6188021535170067</v>
      </c>
    </row>
    <row r="263" spans="1:20" x14ac:dyDescent="0.2">
      <c r="A263" s="7" t="s">
        <v>17</v>
      </c>
      <c r="B263" s="1">
        <v>5</v>
      </c>
      <c r="C263" s="1">
        <v>32.5</v>
      </c>
      <c r="D263" s="1">
        <v>10</v>
      </c>
      <c r="E263" s="7">
        <v>17.55</v>
      </c>
      <c r="F263" s="1">
        <v>50</v>
      </c>
      <c r="G263" s="1">
        <v>3</v>
      </c>
      <c r="H263" s="1">
        <v>4</v>
      </c>
      <c r="I263" s="18">
        <f t="shared" si="32"/>
        <v>376.23713619391361</v>
      </c>
      <c r="J263" s="5">
        <f t="shared" si="33"/>
        <v>678.27114314044195</v>
      </c>
      <c r="K263" s="5">
        <f t="shared" si="34"/>
        <v>7.5247427238782727</v>
      </c>
      <c r="L263" s="30">
        <f t="shared" si="35"/>
        <v>1.2931339126216497</v>
      </c>
      <c r="M263" s="8">
        <f t="shared" si="36"/>
        <v>1.6695905061918572</v>
      </c>
      <c r="N263" s="2">
        <v>73</v>
      </c>
      <c r="O263" s="2">
        <v>75</v>
      </c>
      <c r="P263" s="2">
        <v>74</v>
      </c>
      <c r="S263" s="22">
        <f t="shared" si="37"/>
        <v>74</v>
      </c>
      <c r="T263" s="25">
        <f t="shared" si="38"/>
        <v>1</v>
      </c>
    </row>
    <row r="264" spans="1:20" x14ac:dyDescent="0.2">
      <c r="A264" s="7" t="s">
        <v>17</v>
      </c>
      <c r="B264" s="1">
        <v>5</v>
      </c>
      <c r="C264" s="1">
        <v>32.5</v>
      </c>
      <c r="D264" s="1">
        <v>10</v>
      </c>
      <c r="E264" s="7">
        <v>17.55</v>
      </c>
      <c r="F264" s="1">
        <v>50</v>
      </c>
      <c r="G264" s="1">
        <v>4</v>
      </c>
      <c r="H264" s="1">
        <v>4</v>
      </c>
      <c r="I264" s="18">
        <f t="shared" si="32"/>
        <v>501.64951492521823</v>
      </c>
      <c r="J264" s="5">
        <f t="shared" si="33"/>
        <v>904.36152418725601</v>
      </c>
      <c r="K264" s="5">
        <f t="shared" si="34"/>
        <v>10.032990298504364</v>
      </c>
      <c r="L264" s="30">
        <f t="shared" si="35"/>
        <v>1.2931339126216497</v>
      </c>
      <c r="M264" s="8">
        <f t="shared" si="36"/>
        <v>2.2261206749224765</v>
      </c>
      <c r="N264" s="2">
        <v>82</v>
      </c>
      <c r="O264" s="2">
        <v>70</v>
      </c>
      <c r="P264" s="2">
        <v>63</v>
      </c>
      <c r="S264" s="22">
        <f t="shared" si="37"/>
        <v>71.666666666666671</v>
      </c>
      <c r="T264" s="25">
        <f t="shared" si="38"/>
        <v>9.6090235369330337</v>
      </c>
    </row>
    <row r="265" spans="1:20" x14ac:dyDescent="0.2">
      <c r="A265" s="7" t="s">
        <v>17</v>
      </c>
      <c r="B265" s="1">
        <v>5</v>
      </c>
      <c r="C265" s="1">
        <v>32.5</v>
      </c>
      <c r="D265" s="1">
        <v>10</v>
      </c>
      <c r="E265" s="7">
        <v>17.55</v>
      </c>
      <c r="F265" s="1">
        <v>50</v>
      </c>
      <c r="G265" s="1">
        <v>5</v>
      </c>
      <c r="H265" s="1">
        <v>4</v>
      </c>
      <c r="I265" s="18">
        <f t="shared" si="32"/>
        <v>627.06189365652278</v>
      </c>
      <c r="J265" s="5">
        <f t="shared" si="33"/>
        <v>1130.45190523407</v>
      </c>
      <c r="K265" s="5">
        <f t="shared" si="34"/>
        <v>12.541237873130456</v>
      </c>
      <c r="L265" s="30">
        <f t="shared" si="35"/>
        <v>1.2931339126216497</v>
      </c>
      <c r="M265" s="8">
        <f t="shared" si="36"/>
        <v>2.7826508436530952</v>
      </c>
      <c r="N265" s="2">
        <v>56</v>
      </c>
      <c r="O265" s="2">
        <v>55</v>
      </c>
      <c r="P265" s="2">
        <v>54</v>
      </c>
      <c r="S265" s="22">
        <f t="shared" si="37"/>
        <v>55</v>
      </c>
      <c r="T265" s="25">
        <f t="shared" si="38"/>
        <v>1</v>
      </c>
    </row>
    <row r="266" spans="1:20" x14ac:dyDescent="0.2">
      <c r="A266" s="7" t="s">
        <v>17</v>
      </c>
      <c r="B266" s="1">
        <v>5</v>
      </c>
      <c r="C266" s="1">
        <v>32.5</v>
      </c>
      <c r="D266" s="1">
        <v>10</v>
      </c>
      <c r="E266" s="7">
        <v>17.55</v>
      </c>
      <c r="F266" s="1">
        <v>50</v>
      </c>
      <c r="G266" s="1">
        <v>1</v>
      </c>
      <c r="H266" s="1">
        <v>5</v>
      </c>
      <c r="I266" s="18">
        <f t="shared" si="32"/>
        <v>156.7654734141307</v>
      </c>
      <c r="J266" s="5">
        <f t="shared" si="33"/>
        <v>282.61297630851749</v>
      </c>
      <c r="K266" s="5">
        <f t="shared" si="34"/>
        <v>3.1353094682826139</v>
      </c>
      <c r="L266" s="30">
        <f t="shared" si="35"/>
        <v>1.0345071300973196</v>
      </c>
      <c r="M266" s="8">
        <f t="shared" si="36"/>
        <v>0.86957838864159231</v>
      </c>
      <c r="N266" s="2">
        <v>33</v>
      </c>
      <c r="O266" s="2">
        <v>38</v>
      </c>
      <c r="P266" s="2">
        <v>33</v>
      </c>
      <c r="S266" s="22">
        <f t="shared" si="37"/>
        <v>34.666666666666664</v>
      </c>
      <c r="T266" s="25">
        <f t="shared" si="38"/>
        <v>2.8867513459481287</v>
      </c>
    </row>
    <row r="267" spans="1:20" x14ac:dyDescent="0.2">
      <c r="A267" s="7" t="s">
        <v>17</v>
      </c>
      <c r="B267" s="1">
        <v>5</v>
      </c>
      <c r="C267" s="1">
        <v>32.5</v>
      </c>
      <c r="D267" s="1">
        <v>10</v>
      </c>
      <c r="E267" s="7">
        <v>17.55</v>
      </c>
      <c r="F267" s="1">
        <v>50</v>
      </c>
      <c r="G267" s="1">
        <v>2</v>
      </c>
      <c r="H267" s="1">
        <v>5</v>
      </c>
      <c r="I267" s="18">
        <f t="shared" si="32"/>
        <v>313.53094682826139</v>
      </c>
      <c r="J267" s="5">
        <f t="shared" si="33"/>
        <v>565.22595261703498</v>
      </c>
      <c r="K267" s="5">
        <f t="shared" si="34"/>
        <v>6.2706189365652278</v>
      </c>
      <c r="L267" s="30">
        <f t="shared" si="35"/>
        <v>1.0345071300973196</v>
      </c>
      <c r="M267" s="8">
        <f t="shared" si="36"/>
        <v>1.7391567772831846</v>
      </c>
      <c r="N267" s="2">
        <v>31</v>
      </c>
      <c r="O267" s="2">
        <v>35</v>
      </c>
      <c r="P267" s="2">
        <v>38</v>
      </c>
      <c r="S267" s="22">
        <f t="shared" si="37"/>
        <v>34.666666666666664</v>
      </c>
      <c r="T267" s="25">
        <f t="shared" si="38"/>
        <v>3.5118845842842461</v>
      </c>
    </row>
    <row r="268" spans="1:20" x14ac:dyDescent="0.2">
      <c r="A268" s="7" t="s">
        <v>17</v>
      </c>
      <c r="B268" s="1">
        <v>5</v>
      </c>
      <c r="C268" s="1">
        <v>32.5</v>
      </c>
      <c r="D268" s="1">
        <v>10</v>
      </c>
      <c r="E268" s="7">
        <v>17.55</v>
      </c>
      <c r="F268" s="1">
        <v>50</v>
      </c>
      <c r="G268" s="1">
        <v>3</v>
      </c>
      <c r="H268" s="1">
        <v>5</v>
      </c>
      <c r="I268" s="18">
        <f t="shared" si="32"/>
        <v>470.29642024239212</v>
      </c>
      <c r="J268" s="5">
        <f t="shared" si="33"/>
        <v>847.83892892555252</v>
      </c>
      <c r="K268" s="5">
        <f t="shared" si="34"/>
        <v>9.4059284048478418</v>
      </c>
      <c r="L268" s="30">
        <f t="shared" si="35"/>
        <v>1.0345071300973196</v>
      </c>
      <c r="M268" s="8">
        <f t="shared" si="36"/>
        <v>2.6087351659247768</v>
      </c>
      <c r="N268" s="2">
        <v>22</v>
      </c>
      <c r="O268" s="2">
        <v>27</v>
      </c>
      <c r="P268" s="2">
        <v>34</v>
      </c>
      <c r="S268" s="22">
        <f t="shared" si="37"/>
        <v>27.666666666666668</v>
      </c>
      <c r="T268" s="25">
        <f t="shared" si="38"/>
        <v>6.0277137733417021</v>
      </c>
    </row>
    <row r="269" spans="1:20" x14ac:dyDescent="0.2">
      <c r="A269" s="6" t="s">
        <v>17</v>
      </c>
      <c r="B269" s="4">
        <v>5</v>
      </c>
      <c r="C269" s="4">
        <v>32.5</v>
      </c>
      <c r="D269" s="4">
        <v>10</v>
      </c>
      <c r="E269" s="6">
        <v>17.55</v>
      </c>
      <c r="F269" s="4">
        <v>50</v>
      </c>
      <c r="G269" s="4">
        <v>4</v>
      </c>
      <c r="H269" s="6">
        <v>5</v>
      </c>
      <c r="I269" s="19">
        <f t="shared" si="32"/>
        <v>627.06189365652278</v>
      </c>
      <c r="J269" s="9">
        <f t="shared" si="33"/>
        <v>1130.45190523407</v>
      </c>
      <c r="K269" s="9">
        <f t="shared" si="34"/>
        <v>12.541237873130456</v>
      </c>
      <c r="L269" s="31">
        <f t="shared" si="35"/>
        <v>1.0345071300973196</v>
      </c>
      <c r="M269" s="10">
        <f t="shared" si="36"/>
        <v>3.4783135545663693</v>
      </c>
      <c r="N269" s="20">
        <v>20</v>
      </c>
      <c r="O269" s="20">
        <v>27</v>
      </c>
      <c r="P269" s="20">
        <v>21</v>
      </c>
      <c r="Q269" s="4"/>
      <c r="R269" s="6"/>
      <c r="S269" s="23">
        <f t="shared" si="37"/>
        <v>22.666666666666668</v>
      </c>
      <c r="T269" s="11">
        <f t="shared" si="38"/>
        <v>3.7859388972001873</v>
      </c>
    </row>
    <row r="270" spans="1:20" x14ac:dyDescent="0.2">
      <c r="A270" s="12" t="s">
        <v>18</v>
      </c>
      <c r="B270" s="1">
        <v>5</v>
      </c>
      <c r="C270" s="1">
        <v>12.5</v>
      </c>
      <c r="D270" s="1">
        <v>7.5</v>
      </c>
      <c r="E270" s="12">
        <v>16</v>
      </c>
      <c r="F270" s="1">
        <v>10</v>
      </c>
      <c r="G270" s="1">
        <v>0</v>
      </c>
      <c r="H270" s="12">
        <v>0</v>
      </c>
      <c r="I270" s="24">
        <f t="shared" ref="I270:I289" si="39">(2*PI()*G270*(H270/1000)*998*(B270/1000))/0.001</f>
        <v>0</v>
      </c>
      <c r="J270" s="24">
        <f t="shared" ref="J270:J289" si="40">I270*SQRT(C270/(2*B270))</f>
        <v>0</v>
      </c>
      <c r="K270" s="5">
        <f t="shared" si="34"/>
        <v>0</v>
      </c>
      <c r="L270" s="30" t="e">
        <f t="shared" si="35"/>
        <v>#DIV/0!</v>
      </c>
      <c r="M270" s="8">
        <f t="shared" si="36"/>
        <v>0</v>
      </c>
      <c r="N270" s="2">
        <v>12</v>
      </c>
      <c r="P270" s="27"/>
      <c r="Q270" s="17"/>
      <c r="R270" s="7"/>
      <c r="S270" s="22">
        <f t="shared" si="37"/>
        <v>12</v>
      </c>
      <c r="T270" s="25" t="e">
        <f t="shared" si="38"/>
        <v>#DIV/0!</v>
      </c>
    </row>
    <row r="271" spans="1:20" x14ac:dyDescent="0.2">
      <c r="A271" s="7" t="s">
        <v>18</v>
      </c>
      <c r="B271" s="1">
        <v>5</v>
      </c>
      <c r="C271" s="1">
        <v>12.5</v>
      </c>
      <c r="D271" s="1">
        <v>7.5</v>
      </c>
      <c r="E271" s="7">
        <v>16</v>
      </c>
      <c r="F271" s="1">
        <v>10</v>
      </c>
      <c r="G271" s="1">
        <v>1</v>
      </c>
      <c r="H271" s="7">
        <v>1</v>
      </c>
      <c r="I271" s="24">
        <f t="shared" si="39"/>
        <v>31.353094682826139</v>
      </c>
      <c r="J271" s="24">
        <f t="shared" si="40"/>
        <v>35.053825507893229</v>
      </c>
      <c r="K271" s="5">
        <f t="shared" si="34"/>
        <v>3.1353094682826139</v>
      </c>
      <c r="L271" s="30">
        <f t="shared" si="35"/>
        <v>1.9894367886486917</v>
      </c>
      <c r="M271" s="8">
        <f t="shared" si="36"/>
        <v>0.28043060406314585</v>
      </c>
      <c r="N271" s="2">
        <v>14</v>
      </c>
      <c r="P271" s="27"/>
      <c r="Q271" s="17"/>
      <c r="R271" s="7"/>
      <c r="S271" s="22">
        <f t="shared" si="37"/>
        <v>14</v>
      </c>
      <c r="T271" s="25" t="e">
        <f t="shared" si="38"/>
        <v>#DIV/0!</v>
      </c>
    </row>
    <row r="272" spans="1:20" x14ac:dyDescent="0.2">
      <c r="A272" s="7" t="s">
        <v>18</v>
      </c>
      <c r="B272" s="1">
        <v>5</v>
      </c>
      <c r="C272" s="1">
        <v>12.5</v>
      </c>
      <c r="D272" s="1">
        <v>7.5</v>
      </c>
      <c r="E272" s="7">
        <v>16</v>
      </c>
      <c r="F272" s="1">
        <v>10</v>
      </c>
      <c r="G272" s="1">
        <v>3</v>
      </c>
      <c r="H272" s="7">
        <v>1</v>
      </c>
      <c r="I272" s="24">
        <f t="shared" si="39"/>
        <v>94.059284048478403</v>
      </c>
      <c r="J272" s="24">
        <f t="shared" si="40"/>
        <v>105.16147652367967</v>
      </c>
      <c r="K272" s="5">
        <f t="shared" si="34"/>
        <v>9.40592840484784</v>
      </c>
      <c r="L272" s="30">
        <f t="shared" si="35"/>
        <v>1.9894367886486917</v>
      </c>
      <c r="M272" s="8">
        <f t="shared" si="36"/>
        <v>0.84129181218943727</v>
      </c>
      <c r="N272" s="2">
        <v>13</v>
      </c>
      <c r="P272" s="27"/>
      <c r="Q272" s="17"/>
      <c r="R272" s="7"/>
      <c r="S272" s="22">
        <f t="shared" si="37"/>
        <v>13</v>
      </c>
      <c r="T272" s="25" t="e">
        <f t="shared" si="38"/>
        <v>#DIV/0!</v>
      </c>
    </row>
    <row r="273" spans="1:20" x14ac:dyDescent="0.2">
      <c r="A273" s="7" t="s">
        <v>18</v>
      </c>
      <c r="B273" s="1">
        <v>5</v>
      </c>
      <c r="C273" s="1">
        <v>12.5</v>
      </c>
      <c r="D273" s="1">
        <v>7.5</v>
      </c>
      <c r="E273" s="7">
        <v>16</v>
      </c>
      <c r="F273" s="1">
        <v>10</v>
      </c>
      <c r="G273" s="1">
        <v>5</v>
      </c>
      <c r="H273" s="7">
        <v>1</v>
      </c>
      <c r="I273" s="24">
        <f t="shared" si="39"/>
        <v>156.7654734141307</v>
      </c>
      <c r="J273" s="24">
        <f t="shared" si="40"/>
        <v>175.26912753946615</v>
      </c>
      <c r="K273" s="5">
        <f t="shared" si="34"/>
        <v>15.67654734141307</v>
      </c>
      <c r="L273" s="30">
        <f t="shared" si="35"/>
        <v>1.9894367886486917</v>
      </c>
      <c r="M273" s="8">
        <f t="shared" si="36"/>
        <v>1.4021530203157293</v>
      </c>
      <c r="N273" s="2">
        <v>13</v>
      </c>
      <c r="P273" s="27"/>
      <c r="Q273" s="17"/>
      <c r="R273" s="7"/>
      <c r="S273" s="22">
        <f t="shared" si="37"/>
        <v>13</v>
      </c>
      <c r="T273" s="25" t="e">
        <f t="shared" si="38"/>
        <v>#DIV/0!</v>
      </c>
    </row>
    <row r="274" spans="1:20" x14ac:dyDescent="0.2">
      <c r="A274" s="7" t="s">
        <v>18</v>
      </c>
      <c r="B274" s="1">
        <v>5</v>
      </c>
      <c r="C274" s="1">
        <v>12.5</v>
      </c>
      <c r="D274" s="1">
        <v>7.5</v>
      </c>
      <c r="E274" s="7">
        <v>16</v>
      </c>
      <c r="F274" s="1">
        <v>10</v>
      </c>
      <c r="G274" s="1">
        <v>7</v>
      </c>
      <c r="H274" s="7">
        <v>1</v>
      </c>
      <c r="I274" s="24">
        <f t="shared" si="39"/>
        <v>219.47166277978295</v>
      </c>
      <c r="J274" s="24">
        <f t="shared" si="40"/>
        <v>245.37677855525257</v>
      </c>
      <c r="K274" s="5">
        <f t="shared" si="34"/>
        <v>21.947166277978294</v>
      </c>
      <c r="L274" s="30">
        <f t="shared" si="35"/>
        <v>1.9894367886486917</v>
      </c>
      <c r="M274" s="8">
        <f t="shared" si="36"/>
        <v>1.9630142284420207</v>
      </c>
      <c r="N274" s="2">
        <v>14</v>
      </c>
      <c r="P274" s="27"/>
      <c r="Q274" s="17"/>
      <c r="R274" s="7"/>
      <c r="S274" s="22">
        <f t="shared" si="37"/>
        <v>14</v>
      </c>
      <c r="T274" s="25" t="e">
        <f t="shared" si="38"/>
        <v>#DIV/0!</v>
      </c>
    </row>
    <row r="275" spans="1:20" x14ac:dyDescent="0.2">
      <c r="A275" s="7" t="s">
        <v>18</v>
      </c>
      <c r="B275" s="1">
        <v>5</v>
      </c>
      <c r="C275" s="1">
        <v>12.5</v>
      </c>
      <c r="D275" s="1">
        <v>7.5</v>
      </c>
      <c r="E275" s="7">
        <v>16</v>
      </c>
      <c r="F275" s="1">
        <v>10</v>
      </c>
      <c r="G275" s="1">
        <v>1</v>
      </c>
      <c r="H275" s="7">
        <v>2</v>
      </c>
      <c r="I275" s="24">
        <f t="shared" si="39"/>
        <v>62.706189365652278</v>
      </c>
      <c r="J275" s="24">
        <f t="shared" si="40"/>
        <v>70.107651015786459</v>
      </c>
      <c r="K275" s="5">
        <f t="shared" si="34"/>
        <v>6.2706189365652278</v>
      </c>
      <c r="L275" s="30">
        <f t="shared" si="35"/>
        <v>0.99471839432434583</v>
      </c>
      <c r="M275" s="8">
        <f t="shared" si="36"/>
        <v>1.1217224162525834</v>
      </c>
      <c r="N275" s="2">
        <v>70</v>
      </c>
      <c r="O275" s="2">
        <v>28</v>
      </c>
      <c r="P275" s="27">
        <v>33</v>
      </c>
      <c r="Q275" s="27"/>
      <c r="R275" s="26"/>
      <c r="S275" s="22">
        <f t="shared" si="37"/>
        <v>43.666666666666664</v>
      </c>
      <c r="T275" s="25">
        <f t="shared" si="38"/>
        <v>22.941955743426355</v>
      </c>
    </row>
    <row r="276" spans="1:20" x14ac:dyDescent="0.2">
      <c r="A276" s="7" t="s">
        <v>18</v>
      </c>
      <c r="B276" s="1">
        <v>5</v>
      </c>
      <c r="C276" s="1">
        <v>12.5</v>
      </c>
      <c r="D276" s="1">
        <v>7.5</v>
      </c>
      <c r="E276" s="7">
        <v>16</v>
      </c>
      <c r="F276" s="1">
        <v>10</v>
      </c>
      <c r="G276" s="1">
        <v>3</v>
      </c>
      <c r="H276" s="7">
        <v>2</v>
      </c>
      <c r="I276" s="24">
        <f t="shared" si="39"/>
        <v>188.11856809695681</v>
      </c>
      <c r="J276" s="24">
        <f t="shared" si="40"/>
        <v>210.32295304735933</v>
      </c>
      <c r="K276" s="5">
        <f t="shared" si="34"/>
        <v>18.81185680969568</v>
      </c>
      <c r="L276" s="30">
        <f t="shared" si="35"/>
        <v>0.99471839432434583</v>
      </c>
      <c r="M276" s="8">
        <f t="shared" si="36"/>
        <v>3.3651672487577491</v>
      </c>
      <c r="N276" s="2">
        <v>34</v>
      </c>
      <c r="O276" s="2">
        <v>110</v>
      </c>
      <c r="P276" s="27">
        <v>101</v>
      </c>
      <c r="Q276" s="27"/>
      <c r="R276" s="26"/>
      <c r="S276" s="22">
        <f t="shared" si="37"/>
        <v>81.666666666666671</v>
      </c>
      <c r="T276" s="25">
        <f t="shared" si="38"/>
        <v>41.525092815469229</v>
      </c>
    </row>
    <row r="277" spans="1:20" x14ac:dyDescent="0.2">
      <c r="A277" s="7" t="s">
        <v>18</v>
      </c>
      <c r="B277" s="1">
        <v>5</v>
      </c>
      <c r="C277" s="1">
        <v>12.5</v>
      </c>
      <c r="D277" s="1">
        <v>7.5</v>
      </c>
      <c r="E277" s="7">
        <v>16</v>
      </c>
      <c r="F277" s="1">
        <v>10</v>
      </c>
      <c r="G277" s="1">
        <v>5</v>
      </c>
      <c r="H277" s="7">
        <v>2</v>
      </c>
      <c r="I277" s="24">
        <f t="shared" si="39"/>
        <v>313.53094682826139</v>
      </c>
      <c r="J277" s="24">
        <f t="shared" si="40"/>
        <v>350.53825507893231</v>
      </c>
      <c r="K277" s="5">
        <f t="shared" si="34"/>
        <v>31.353094682826139</v>
      </c>
      <c r="L277" s="30">
        <f t="shared" si="35"/>
        <v>0.99471839432434583</v>
      </c>
      <c r="M277" s="8">
        <f t="shared" si="36"/>
        <v>5.6086120812629172</v>
      </c>
      <c r="N277" s="2">
        <v>15</v>
      </c>
      <c r="O277" s="2">
        <v>43</v>
      </c>
      <c r="P277" s="27">
        <v>57</v>
      </c>
      <c r="Q277" s="27"/>
      <c r="R277" s="26"/>
      <c r="S277" s="22">
        <f t="shared" si="37"/>
        <v>38.333333333333336</v>
      </c>
      <c r="T277" s="25">
        <f t="shared" si="38"/>
        <v>21.385353243127255</v>
      </c>
    </row>
    <row r="278" spans="1:20" x14ac:dyDescent="0.2">
      <c r="A278" s="7" t="s">
        <v>18</v>
      </c>
      <c r="B278" s="1">
        <v>5</v>
      </c>
      <c r="C278" s="1">
        <v>12.5</v>
      </c>
      <c r="D278" s="1">
        <v>7.5</v>
      </c>
      <c r="E278" s="7">
        <v>16</v>
      </c>
      <c r="F278" s="1">
        <v>10</v>
      </c>
      <c r="G278" s="1">
        <v>7</v>
      </c>
      <c r="H278" s="7">
        <v>2</v>
      </c>
      <c r="I278" s="24">
        <f t="shared" si="39"/>
        <v>438.94332555956589</v>
      </c>
      <c r="J278" s="24">
        <f t="shared" si="40"/>
        <v>490.75355711050514</v>
      </c>
      <c r="K278" s="5">
        <f t="shared" si="34"/>
        <v>43.894332555956588</v>
      </c>
      <c r="L278" s="30">
        <f t="shared" si="35"/>
        <v>0.99471839432434583</v>
      </c>
      <c r="M278" s="8">
        <f t="shared" si="36"/>
        <v>7.8520569137680827</v>
      </c>
      <c r="N278" s="2">
        <v>20</v>
      </c>
      <c r="O278" s="2">
        <v>65</v>
      </c>
      <c r="P278" s="27">
        <v>62</v>
      </c>
      <c r="Q278" s="27"/>
      <c r="R278" s="26"/>
      <c r="S278" s="22">
        <f t="shared" si="37"/>
        <v>49</v>
      </c>
      <c r="T278" s="25">
        <f t="shared" si="38"/>
        <v>25.159491250818249</v>
      </c>
    </row>
    <row r="279" spans="1:20" x14ac:dyDescent="0.2">
      <c r="A279" s="7" t="s">
        <v>18</v>
      </c>
      <c r="B279" s="1">
        <v>5</v>
      </c>
      <c r="C279" s="1">
        <v>12.5</v>
      </c>
      <c r="D279" s="1">
        <v>7.5</v>
      </c>
      <c r="E279" s="7">
        <v>16</v>
      </c>
      <c r="F279" s="1">
        <v>10</v>
      </c>
      <c r="G279" s="1">
        <v>1</v>
      </c>
      <c r="H279" s="7">
        <v>4</v>
      </c>
      <c r="I279" s="24">
        <f t="shared" si="39"/>
        <v>125.41237873130456</v>
      </c>
      <c r="J279" s="24">
        <f t="shared" si="40"/>
        <v>140.21530203157292</v>
      </c>
      <c r="K279" s="5">
        <f t="shared" si="34"/>
        <v>12.541237873130456</v>
      </c>
      <c r="L279" s="30">
        <f t="shared" si="35"/>
        <v>0.49735919716217292</v>
      </c>
      <c r="M279" s="8">
        <f t="shared" si="36"/>
        <v>4.4868896650103336</v>
      </c>
      <c r="N279" s="2">
        <v>55</v>
      </c>
      <c r="P279" s="27"/>
      <c r="Q279" s="17"/>
      <c r="R279" s="7"/>
      <c r="S279" s="22">
        <f t="shared" si="37"/>
        <v>55</v>
      </c>
      <c r="T279" s="25" t="e">
        <f t="shared" si="38"/>
        <v>#DIV/0!</v>
      </c>
    </row>
    <row r="280" spans="1:20" x14ac:dyDescent="0.2">
      <c r="A280" s="7" t="s">
        <v>18</v>
      </c>
      <c r="B280" s="1">
        <v>5</v>
      </c>
      <c r="C280" s="1">
        <v>12.5</v>
      </c>
      <c r="D280" s="1">
        <v>7.5</v>
      </c>
      <c r="E280" s="7">
        <v>16</v>
      </c>
      <c r="F280" s="1">
        <v>10</v>
      </c>
      <c r="G280" s="1">
        <v>3</v>
      </c>
      <c r="H280" s="7">
        <v>4</v>
      </c>
      <c r="I280" s="24">
        <f t="shared" si="39"/>
        <v>376.23713619391361</v>
      </c>
      <c r="J280" s="24">
        <f t="shared" si="40"/>
        <v>420.64590609471867</v>
      </c>
      <c r="K280" s="5">
        <f t="shared" si="34"/>
        <v>37.62371361939136</v>
      </c>
      <c r="L280" s="30">
        <f t="shared" si="35"/>
        <v>0.49735919716217292</v>
      </c>
      <c r="M280" s="8">
        <f t="shared" si="36"/>
        <v>13.460668995030996</v>
      </c>
      <c r="N280" s="2">
        <v>12</v>
      </c>
      <c r="P280" s="27"/>
      <c r="Q280" s="17"/>
      <c r="R280" s="7"/>
      <c r="S280" s="22">
        <f t="shared" si="37"/>
        <v>12</v>
      </c>
      <c r="T280" s="25" t="e">
        <f t="shared" si="38"/>
        <v>#DIV/0!</v>
      </c>
    </row>
    <row r="281" spans="1:20" x14ac:dyDescent="0.2">
      <c r="A281" s="7" t="s">
        <v>18</v>
      </c>
      <c r="B281" s="1">
        <v>5</v>
      </c>
      <c r="C281" s="1">
        <v>12.5</v>
      </c>
      <c r="D281" s="1">
        <v>7.5</v>
      </c>
      <c r="E281" s="7">
        <v>16</v>
      </c>
      <c r="F281" s="1">
        <v>10</v>
      </c>
      <c r="G281" s="1">
        <v>5</v>
      </c>
      <c r="H281" s="7">
        <v>4</v>
      </c>
      <c r="I281" s="24">
        <f t="shared" si="39"/>
        <v>627.06189365652278</v>
      </c>
      <c r="J281" s="24">
        <f t="shared" si="40"/>
        <v>701.07651015786462</v>
      </c>
      <c r="K281" s="5">
        <f t="shared" si="34"/>
        <v>62.706189365652278</v>
      </c>
      <c r="L281" s="30">
        <f t="shared" si="35"/>
        <v>0.49735919716217292</v>
      </c>
      <c r="M281" s="8">
        <f t="shared" si="36"/>
        <v>22.434448325051669</v>
      </c>
      <c r="N281" s="2">
        <v>8</v>
      </c>
      <c r="P281" s="27"/>
      <c r="Q281" s="17"/>
      <c r="R281" s="7"/>
      <c r="S281" s="22">
        <f t="shared" si="37"/>
        <v>8</v>
      </c>
      <c r="T281" s="25" t="e">
        <f t="shared" si="38"/>
        <v>#DIV/0!</v>
      </c>
    </row>
    <row r="282" spans="1:20" x14ac:dyDescent="0.2">
      <c r="A282" s="7" t="s">
        <v>18</v>
      </c>
      <c r="B282" s="1">
        <v>5</v>
      </c>
      <c r="C282" s="1">
        <v>12.5</v>
      </c>
      <c r="D282" s="1">
        <v>7.5</v>
      </c>
      <c r="E282" s="7">
        <v>16</v>
      </c>
      <c r="F282" s="1">
        <v>10</v>
      </c>
      <c r="G282" s="1">
        <v>1</v>
      </c>
      <c r="H282" s="7">
        <v>8</v>
      </c>
      <c r="I282" s="24">
        <f t="shared" si="39"/>
        <v>250.82475746260911</v>
      </c>
      <c r="J282" s="24">
        <f t="shared" si="40"/>
        <v>280.43060406314584</v>
      </c>
      <c r="K282" s="5">
        <f t="shared" si="34"/>
        <v>25.082475746260911</v>
      </c>
      <c r="L282" s="30">
        <f t="shared" si="35"/>
        <v>0.24867959858108646</v>
      </c>
      <c r="M282" s="8">
        <f t="shared" si="36"/>
        <v>17.947558660041334</v>
      </c>
      <c r="N282" s="2">
        <v>13</v>
      </c>
      <c r="P282" s="27"/>
      <c r="Q282" s="17"/>
      <c r="R282" s="7"/>
      <c r="S282" s="22">
        <f t="shared" si="37"/>
        <v>13</v>
      </c>
      <c r="T282" s="25" t="e">
        <f t="shared" si="38"/>
        <v>#DIV/0!</v>
      </c>
    </row>
    <row r="283" spans="1:20" x14ac:dyDescent="0.2">
      <c r="A283" s="7" t="s">
        <v>18</v>
      </c>
      <c r="B283" s="1">
        <v>5</v>
      </c>
      <c r="C283" s="1">
        <v>12.5</v>
      </c>
      <c r="D283" s="1">
        <v>7.5</v>
      </c>
      <c r="E283" s="7">
        <v>16</v>
      </c>
      <c r="F283" s="1">
        <v>10</v>
      </c>
      <c r="G283" s="1">
        <v>3</v>
      </c>
      <c r="H283" s="7">
        <v>8</v>
      </c>
      <c r="I283" s="24">
        <f t="shared" si="39"/>
        <v>752.47427238782723</v>
      </c>
      <c r="J283" s="24">
        <f t="shared" si="40"/>
        <v>841.29181218943734</v>
      </c>
      <c r="K283" s="5">
        <f t="shared" si="34"/>
        <v>75.24742723878272</v>
      </c>
      <c r="L283" s="30">
        <f t="shared" si="35"/>
        <v>0.24867959858108646</v>
      </c>
      <c r="M283" s="8">
        <f t="shared" si="36"/>
        <v>53.842675980123985</v>
      </c>
      <c r="N283" s="2">
        <v>6</v>
      </c>
      <c r="P283" s="27"/>
      <c r="Q283" s="17"/>
      <c r="R283" s="7"/>
      <c r="S283" s="22">
        <f t="shared" si="37"/>
        <v>6</v>
      </c>
      <c r="T283" s="25" t="e">
        <f t="shared" si="38"/>
        <v>#DIV/0!</v>
      </c>
    </row>
    <row r="284" spans="1:20" x14ac:dyDescent="0.2">
      <c r="A284" s="7" t="s">
        <v>18</v>
      </c>
      <c r="B284" s="1">
        <v>5</v>
      </c>
      <c r="C284" s="1">
        <v>12.5</v>
      </c>
      <c r="D284" s="1">
        <v>7.5</v>
      </c>
      <c r="E284" s="7">
        <v>16</v>
      </c>
      <c r="F284" s="1">
        <v>30</v>
      </c>
      <c r="G284" s="1">
        <v>0</v>
      </c>
      <c r="H284" s="7">
        <v>0</v>
      </c>
      <c r="I284" s="24">
        <f t="shared" si="39"/>
        <v>0</v>
      </c>
      <c r="J284" s="24">
        <f t="shared" si="40"/>
        <v>0</v>
      </c>
      <c r="K284" s="5">
        <f t="shared" si="34"/>
        <v>0</v>
      </c>
      <c r="L284" s="30" t="e">
        <f t="shared" si="35"/>
        <v>#DIV/0!</v>
      </c>
      <c r="M284" s="8">
        <f t="shared" si="36"/>
        <v>0</v>
      </c>
      <c r="N284" s="2">
        <v>9</v>
      </c>
      <c r="P284" s="27"/>
      <c r="Q284" s="17"/>
      <c r="R284" s="7"/>
      <c r="S284" s="22">
        <f t="shared" si="37"/>
        <v>9</v>
      </c>
      <c r="T284" s="25" t="e">
        <f t="shared" si="38"/>
        <v>#DIV/0!</v>
      </c>
    </row>
    <row r="285" spans="1:20" x14ac:dyDescent="0.2">
      <c r="A285" s="7" t="s">
        <v>18</v>
      </c>
      <c r="B285" s="1">
        <v>5</v>
      </c>
      <c r="C285" s="1">
        <v>12.5</v>
      </c>
      <c r="D285" s="1">
        <v>7.5</v>
      </c>
      <c r="E285" s="7">
        <v>16</v>
      </c>
      <c r="F285" s="1">
        <v>30</v>
      </c>
      <c r="G285" s="1">
        <v>1</v>
      </c>
      <c r="H285" s="7">
        <v>1</v>
      </c>
      <c r="I285" s="24">
        <f t="shared" si="39"/>
        <v>31.353094682826139</v>
      </c>
      <c r="J285" s="24">
        <f t="shared" si="40"/>
        <v>35.053825507893229</v>
      </c>
      <c r="K285" s="5">
        <f t="shared" si="34"/>
        <v>1.0451031560942046</v>
      </c>
      <c r="L285" s="30">
        <f t="shared" si="35"/>
        <v>1.9894367886486917</v>
      </c>
      <c r="M285" s="8">
        <f t="shared" si="36"/>
        <v>9.3476868021048626E-2</v>
      </c>
      <c r="N285" s="2">
        <v>16</v>
      </c>
      <c r="P285" s="27"/>
      <c r="Q285" s="17"/>
      <c r="R285" s="7"/>
      <c r="S285" s="22">
        <f t="shared" si="37"/>
        <v>16</v>
      </c>
      <c r="T285" s="25" t="e">
        <f t="shared" si="38"/>
        <v>#DIV/0!</v>
      </c>
    </row>
    <row r="286" spans="1:20" x14ac:dyDescent="0.2">
      <c r="A286" s="7" t="s">
        <v>18</v>
      </c>
      <c r="B286" s="1">
        <v>5</v>
      </c>
      <c r="C286" s="1">
        <v>12.5</v>
      </c>
      <c r="D286" s="1">
        <v>7.5</v>
      </c>
      <c r="E286" s="7">
        <v>16</v>
      </c>
      <c r="F286" s="1">
        <v>30</v>
      </c>
      <c r="G286" s="1">
        <v>3</v>
      </c>
      <c r="H286" s="7">
        <v>1</v>
      </c>
      <c r="I286" s="24">
        <f t="shared" si="39"/>
        <v>94.059284048478403</v>
      </c>
      <c r="J286" s="24">
        <f t="shared" si="40"/>
        <v>105.16147652367967</v>
      </c>
      <c r="K286" s="5">
        <f t="shared" si="34"/>
        <v>3.1353094682826135</v>
      </c>
      <c r="L286" s="30">
        <f t="shared" si="35"/>
        <v>1.9894367886486917</v>
      </c>
      <c r="M286" s="8">
        <f t="shared" si="36"/>
        <v>0.28043060406314579</v>
      </c>
      <c r="N286" s="2">
        <v>12</v>
      </c>
      <c r="P286" s="27"/>
      <c r="Q286" s="17"/>
      <c r="R286" s="7"/>
      <c r="S286" s="22">
        <f t="shared" si="37"/>
        <v>12</v>
      </c>
      <c r="T286" s="25" t="e">
        <f t="shared" si="38"/>
        <v>#DIV/0!</v>
      </c>
    </row>
    <row r="287" spans="1:20" x14ac:dyDescent="0.2">
      <c r="A287" s="7" t="s">
        <v>18</v>
      </c>
      <c r="B287" s="1">
        <v>5</v>
      </c>
      <c r="C287" s="1">
        <v>12.5</v>
      </c>
      <c r="D287" s="1">
        <v>7.5</v>
      </c>
      <c r="E287" s="7">
        <v>16</v>
      </c>
      <c r="F287" s="1">
        <v>30</v>
      </c>
      <c r="G287" s="1">
        <v>5</v>
      </c>
      <c r="H287" s="7">
        <v>1</v>
      </c>
      <c r="I287" s="24">
        <f t="shared" si="39"/>
        <v>156.7654734141307</v>
      </c>
      <c r="J287" s="24">
        <f t="shared" si="40"/>
        <v>175.26912753946615</v>
      </c>
      <c r="K287" s="5">
        <f t="shared" si="34"/>
        <v>5.2255157804710235</v>
      </c>
      <c r="L287" s="30">
        <f t="shared" si="35"/>
        <v>1.9894367886486917</v>
      </c>
      <c r="M287" s="8">
        <f t="shared" si="36"/>
        <v>0.46738434010524305</v>
      </c>
      <c r="N287" s="2">
        <v>11</v>
      </c>
      <c r="P287" s="27"/>
      <c r="Q287" s="17"/>
      <c r="R287" s="7"/>
      <c r="S287" s="22">
        <f t="shared" si="37"/>
        <v>11</v>
      </c>
      <c r="T287" s="25" t="e">
        <f t="shared" si="38"/>
        <v>#DIV/0!</v>
      </c>
    </row>
    <row r="288" spans="1:20" x14ac:dyDescent="0.2">
      <c r="A288" s="7" t="s">
        <v>18</v>
      </c>
      <c r="B288" s="1">
        <v>5</v>
      </c>
      <c r="C288" s="1">
        <v>12.5</v>
      </c>
      <c r="D288" s="1">
        <v>7.5</v>
      </c>
      <c r="E288" s="7">
        <v>16</v>
      </c>
      <c r="F288" s="1">
        <v>30</v>
      </c>
      <c r="G288" s="1">
        <v>7</v>
      </c>
      <c r="H288" s="7">
        <v>1</v>
      </c>
      <c r="I288" s="24">
        <f t="shared" si="39"/>
        <v>219.47166277978295</v>
      </c>
      <c r="J288" s="24">
        <f t="shared" si="40"/>
        <v>245.37677855525257</v>
      </c>
      <c r="K288" s="5">
        <f t="shared" si="34"/>
        <v>7.3157220926594313</v>
      </c>
      <c r="L288" s="30">
        <f t="shared" si="35"/>
        <v>1.9894367886486917</v>
      </c>
      <c r="M288" s="8">
        <f t="shared" si="36"/>
        <v>0.65433807614734019</v>
      </c>
      <c r="N288" s="2">
        <v>11</v>
      </c>
      <c r="P288" s="27"/>
      <c r="Q288" s="17"/>
      <c r="R288" s="7"/>
      <c r="S288" s="22">
        <f t="shared" si="37"/>
        <v>11</v>
      </c>
      <c r="T288" s="25" t="e">
        <f t="shared" si="38"/>
        <v>#DIV/0!</v>
      </c>
    </row>
    <row r="289" spans="1:20" x14ac:dyDescent="0.2">
      <c r="A289" s="7" t="s">
        <v>18</v>
      </c>
      <c r="B289" s="1">
        <v>5</v>
      </c>
      <c r="C289" s="1">
        <v>12.5</v>
      </c>
      <c r="D289" s="1">
        <v>7.5</v>
      </c>
      <c r="E289" s="7">
        <v>16</v>
      </c>
      <c r="F289" s="1">
        <v>30</v>
      </c>
      <c r="G289" s="1">
        <v>1</v>
      </c>
      <c r="H289" s="7">
        <v>2</v>
      </c>
      <c r="I289" s="24">
        <f t="shared" si="39"/>
        <v>62.706189365652278</v>
      </c>
      <c r="J289" s="24">
        <f t="shared" si="40"/>
        <v>70.107651015786459</v>
      </c>
      <c r="K289" s="5">
        <f t="shared" si="34"/>
        <v>2.0902063121884091</v>
      </c>
      <c r="L289" s="30">
        <f t="shared" si="35"/>
        <v>0.99471839432434583</v>
      </c>
      <c r="M289" s="8">
        <f t="shared" si="36"/>
        <v>0.3739074720841945</v>
      </c>
      <c r="N289" s="2">
        <v>30</v>
      </c>
      <c r="P289" s="27"/>
      <c r="Q289" s="17"/>
      <c r="R289" s="7"/>
      <c r="S289" s="22">
        <f t="shared" si="37"/>
        <v>30</v>
      </c>
      <c r="T289" s="25" t="e">
        <f t="shared" si="38"/>
        <v>#DIV/0!</v>
      </c>
    </row>
    <row r="290" spans="1:20" x14ac:dyDescent="0.2">
      <c r="A290" s="7" t="s">
        <v>18</v>
      </c>
      <c r="B290" s="1">
        <v>5</v>
      </c>
      <c r="C290" s="1">
        <v>12.5</v>
      </c>
      <c r="D290" s="1">
        <v>7.5</v>
      </c>
      <c r="E290" s="7">
        <v>16</v>
      </c>
      <c r="F290" s="1">
        <v>30</v>
      </c>
      <c r="G290" s="1">
        <v>3</v>
      </c>
      <c r="H290" s="7">
        <v>2</v>
      </c>
      <c r="I290" s="24">
        <f t="shared" ref="I290:I303" si="41">(2*PI()*G290*(H290/1000)*998*(B290/1000))/0.001</f>
        <v>188.11856809695681</v>
      </c>
      <c r="J290" s="24">
        <f t="shared" ref="J290:J303" si="42">I290*SQRT(C290/(2*B290))</f>
        <v>210.32295304735933</v>
      </c>
      <c r="K290" s="5">
        <f t="shared" si="34"/>
        <v>6.270618936565227</v>
      </c>
      <c r="L290" s="30">
        <f t="shared" si="35"/>
        <v>0.99471839432434583</v>
      </c>
      <c r="M290" s="8">
        <f t="shared" si="36"/>
        <v>1.1217224162525832</v>
      </c>
      <c r="N290" s="2">
        <v>66</v>
      </c>
      <c r="P290" s="27"/>
      <c r="Q290" s="17"/>
      <c r="R290" s="7"/>
      <c r="S290" s="22">
        <f t="shared" si="37"/>
        <v>66</v>
      </c>
      <c r="T290" s="25" t="e">
        <f t="shared" si="38"/>
        <v>#DIV/0!</v>
      </c>
    </row>
    <row r="291" spans="1:20" x14ac:dyDescent="0.2">
      <c r="A291" s="7" t="s">
        <v>18</v>
      </c>
      <c r="B291" s="1">
        <v>5</v>
      </c>
      <c r="C291" s="1">
        <v>12.5</v>
      </c>
      <c r="D291" s="1">
        <v>7.5</v>
      </c>
      <c r="E291" s="7">
        <v>16</v>
      </c>
      <c r="F291" s="1">
        <v>30</v>
      </c>
      <c r="G291" s="1">
        <v>5</v>
      </c>
      <c r="H291" s="7">
        <v>2</v>
      </c>
      <c r="I291" s="24">
        <f t="shared" si="41"/>
        <v>313.53094682826139</v>
      </c>
      <c r="J291" s="24">
        <f t="shared" si="42"/>
        <v>350.53825507893231</v>
      </c>
      <c r="K291" s="5">
        <f t="shared" si="34"/>
        <v>10.451031560942047</v>
      </c>
      <c r="L291" s="30">
        <f t="shared" si="35"/>
        <v>0.99471839432434583</v>
      </c>
      <c r="M291" s="8">
        <f t="shared" si="36"/>
        <v>1.8695373604209722</v>
      </c>
      <c r="N291" s="2">
        <v>77</v>
      </c>
      <c r="P291" s="27"/>
      <c r="Q291" s="17"/>
      <c r="R291" s="7"/>
      <c r="S291" s="22">
        <f t="shared" si="37"/>
        <v>77</v>
      </c>
      <c r="T291" s="25" t="e">
        <f t="shared" si="38"/>
        <v>#DIV/0!</v>
      </c>
    </row>
    <row r="292" spans="1:20" x14ac:dyDescent="0.2">
      <c r="A292" s="7" t="s">
        <v>18</v>
      </c>
      <c r="B292" s="1">
        <v>5</v>
      </c>
      <c r="C292" s="1">
        <v>12.5</v>
      </c>
      <c r="D292" s="1">
        <v>7.5</v>
      </c>
      <c r="E292" s="7">
        <v>16</v>
      </c>
      <c r="F292" s="1">
        <v>30</v>
      </c>
      <c r="G292" s="1">
        <v>7</v>
      </c>
      <c r="H292" s="7">
        <v>2</v>
      </c>
      <c r="I292" s="24">
        <f t="shared" si="41"/>
        <v>438.94332555956589</v>
      </c>
      <c r="J292" s="24">
        <f t="shared" si="42"/>
        <v>490.75355711050514</v>
      </c>
      <c r="K292" s="5">
        <f t="shared" si="34"/>
        <v>14.631444185318863</v>
      </c>
      <c r="L292" s="30">
        <f t="shared" si="35"/>
        <v>0.99471839432434583</v>
      </c>
      <c r="M292" s="8">
        <f t="shared" si="36"/>
        <v>2.6173523045893607</v>
      </c>
      <c r="N292" s="2">
        <v>34</v>
      </c>
      <c r="P292" s="27"/>
      <c r="Q292" s="17"/>
      <c r="R292" s="7"/>
      <c r="S292" s="22">
        <f t="shared" si="37"/>
        <v>34</v>
      </c>
      <c r="T292" s="25" t="e">
        <f t="shared" si="38"/>
        <v>#DIV/0!</v>
      </c>
    </row>
    <row r="293" spans="1:20" x14ac:dyDescent="0.2">
      <c r="A293" s="7" t="s">
        <v>18</v>
      </c>
      <c r="B293" s="1">
        <v>5</v>
      </c>
      <c r="C293" s="1">
        <v>12.5</v>
      </c>
      <c r="D293" s="1">
        <v>7.5</v>
      </c>
      <c r="E293" s="7">
        <v>16</v>
      </c>
      <c r="F293" s="1">
        <v>30</v>
      </c>
      <c r="G293" s="1">
        <v>1</v>
      </c>
      <c r="H293" s="7">
        <v>4</v>
      </c>
      <c r="I293" s="24">
        <f t="shared" si="41"/>
        <v>125.41237873130456</v>
      </c>
      <c r="J293" s="24">
        <f t="shared" si="42"/>
        <v>140.21530203157292</v>
      </c>
      <c r="K293" s="5">
        <f t="shared" si="34"/>
        <v>4.1804126243768183</v>
      </c>
      <c r="L293" s="30">
        <f t="shared" si="35"/>
        <v>0.49735919716217292</v>
      </c>
      <c r="M293" s="8">
        <f t="shared" si="36"/>
        <v>1.495629888336778</v>
      </c>
      <c r="N293" s="2">
        <v>50</v>
      </c>
      <c r="P293" s="27"/>
      <c r="Q293" s="17"/>
      <c r="R293" s="7"/>
      <c r="S293" s="22">
        <f t="shared" si="37"/>
        <v>50</v>
      </c>
      <c r="T293" s="25" t="e">
        <f t="shared" si="38"/>
        <v>#DIV/0!</v>
      </c>
    </row>
    <row r="294" spans="1:20" x14ac:dyDescent="0.2">
      <c r="A294" s="7" t="s">
        <v>18</v>
      </c>
      <c r="B294" s="1">
        <v>5</v>
      </c>
      <c r="C294" s="1">
        <v>12.5</v>
      </c>
      <c r="D294" s="1">
        <v>7.5</v>
      </c>
      <c r="E294" s="7">
        <v>16</v>
      </c>
      <c r="F294" s="1">
        <v>30</v>
      </c>
      <c r="G294" s="1">
        <v>3</v>
      </c>
      <c r="H294" s="7">
        <v>4</v>
      </c>
      <c r="I294" s="24">
        <f t="shared" si="41"/>
        <v>376.23713619391361</v>
      </c>
      <c r="J294" s="24">
        <f t="shared" si="42"/>
        <v>420.64590609471867</v>
      </c>
      <c r="K294" s="5">
        <f t="shared" si="34"/>
        <v>12.541237873130454</v>
      </c>
      <c r="L294" s="30">
        <f t="shared" si="35"/>
        <v>0.49735919716217292</v>
      </c>
      <c r="M294" s="8">
        <f t="shared" si="36"/>
        <v>4.4868896650103327</v>
      </c>
      <c r="N294" s="2">
        <v>21</v>
      </c>
      <c r="P294" s="27"/>
      <c r="Q294" s="17"/>
      <c r="R294" s="7"/>
      <c r="S294" s="22">
        <f t="shared" si="37"/>
        <v>21</v>
      </c>
      <c r="T294" s="25" t="e">
        <f t="shared" si="38"/>
        <v>#DIV/0!</v>
      </c>
    </row>
    <row r="295" spans="1:20" x14ac:dyDescent="0.2">
      <c r="A295" s="7" t="s">
        <v>18</v>
      </c>
      <c r="B295" s="1">
        <v>5</v>
      </c>
      <c r="C295" s="1">
        <v>12.5</v>
      </c>
      <c r="D295" s="1">
        <v>7.5</v>
      </c>
      <c r="E295" s="7">
        <v>16</v>
      </c>
      <c r="F295" s="1">
        <v>30</v>
      </c>
      <c r="G295" s="1">
        <v>5</v>
      </c>
      <c r="H295" s="7">
        <v>4</v>
      </c>
      <c r="I295" s="24">
        <f t="shared" si="41"/>
        <v>627.06189365652278</v>
      </c>
      <c r="J295" s="24">
        <f t="shared" si="42"/>
        <v>701.07651015786462</v>
      </c>
      <c r="K295" s="5">
        <f t="shared" si="34"/>
        <v>20.902063121884094</v>
      </c>
      <c r="L295" s="30">
        <f t="shared" si="35"/>
        <v>0.49735919716217292</v>
      </c>
      <c r="M295" s="8">
        <f t="shared" si="36"/>
        <v>7.4781494416838887</v>
      </c>
      <c r="N295" s="2">
        <v>13</v>
      </c>
      <c r="P295" s="27"/>
      <c r="Q295" s="17"/>
      <c r="R295" s="7"/>
      <c r="S295" s="22">
        <f t="shared" si="37"/>
        <v>13</v>
      </c>
      <c r="T295" s="25" t="e">
        <f t="shared" si="38"/>
        <v>#DIV/0!</v>
      </c>
    </row>
    <row r="296" spans="1:20" x14ac:dyDescent="0.2">
      <c r="A296" s="7" t="s">
        <v>18</v>
      </c>
      <c r="B296" s="1">
        <v>5</v>
      </c>
      <c r="C296" s="1">
        <v>12.5</v>
      </c>
      <c r="D296" s="1">
        <v>7.5</v>
      </c>
      <c r="E296" s="7">
        <v>16</v>
      </c>
      <c r="F296" s="1">
        <v>30</v>
      </c>
      <c r="G296" s="1">
        <v>1</v>
      </c>
      <c r="H296" s="7">
        <v>8</v>
      </c>
      <c r="I296" s="24">
        <f t="shared" si="41"/>
        <v>250.82475746260911</v>
      </c>
      <c r="J296" s="24">
        <f t="shared" si="42"/>
        <v>280.43060406314584</v>
      </c>
      <c r="K296" s="5">
        <f t="shared" si="34"/>
        <v>8.3608252487536365</v>
      </c>
      <c r="L296" s="30">
        <f t="shared" si="35"/>
        <v>0.24867959858108646</v>
      </c>
      <c r="M296" s="8">
        <f t="shared" si="36"/>
        <v>5.9825195533471121</v>
      </c>
      <c r="N296" s="2">
        <v>24</v>
      </c>
      <c r="P296" s="27"/>
      <c r="Q296" s="17"/>
      <c r="R296" s="7"/>
      <c r="S296" s="22">
        <f t="shared" si="37"/>
        <v>24</v>
      </c>
      <c r="T296" s="25" t="e">
        <f t="shared" si="38"/>
        <v>#DIV/0!</v>
      </c>
    </row>
    <row r="297" spans="1:20" x14ac:dyDescent="0.2">
      <c r="A297" s="7" t="s">
        <v>18</v>
      </c>
      <c r="B297" s="1">
        <v>5</v>
      </c>
      <c r="C297" s="1">
        <v>12.5</v>
      </c>
      <c r="D297" s="1">
        <v>7.5</v>
      </c>
      <c r="E297" s="7">
        <v>16</v>
      </c>
      <c r="F297" s="1">
        <v>30</v>
      </c>
      <c r="G297" s="1">
        <v>3</v>
      </c>
      <c r="H297" s="7">
        <v>8</v>
      </c>
      <c r="I297" s="24">
        <f t="shared" si="41"/>
        <v>752.47427238782723</v>
      </c>
      <c r="J297" s="24">
        <f t="shared" si="42"/>
        <v>841.29181218943734</v>
      </c>
      <c r="K297" s="5">
        <f t="shared" si="34"/>
        <v>25.082475746260908</v>
      </c>
      <c r="L297" s="30">
        <f t="shared" si="35"/>
        <v>0.24867959858108646</v>
      </c>
      <c r="M297" s="8">
        <f t="shared" si="36"/>
        <v>17.947558660041331</v>
      </c>
      <c r="N297" s="2">
        <v>11</v>
      </c>
      <c r="P297" s="27"/>
      <c r="Q297" s="17"/>
      <c r="R297" s="7"/>
      <c r="S297" s="22">
        <f t="shared" si="37"/>
        <v>11</v>
      </c>
      <c r="T297" s="25" t="e">
        <f t="shared" si="38"/>
        <v>#DIV/0!</v>
      </c>
    </row>
    <row r="298" spans="1:20" x14ac:dyDescent="0.2">
      <c r="A298" s="7" t="s">
        <v>18</v>
      </c>
      <c r="B298" s="1">
        <v>5</v>
      </c>
      <c r="C298" s="1">
        <v>12.5</v>
      </c>
      <c r="D298" s="1">
        <v>7.5</v>
      </c>
      <c r="E298" s="7">
        <v>16</v>
      </c>
      <c r="F298" s="1">
        <v>50</v>
      </c>
      <c r="G298" s="1">
        <v>0</v>
      </c>
      <c r="H298" s="7">
        <v>0</v>
      </c>
      <c r="I298" s="24">
        <f t="shared" si="41"/>
        <v>0</v>
      </c>
      <c r="J298" s="24">
        <f t="shared" si="42"/>
        <v>0</v>
      </c>
      <c r="K298" s="5">
        <f t="shared" si="34"/>
        <v>0</v>
      </c>
      <c r="L298" s="30" t="e">
        <f t="shared" si="35"/>
        <v>#DIV/0!</v>
      </c>
      <c r="M298" s="8">
        <f t="shared" si="36"/>
        <v>0</v>
      </c>
      <c r="N298" s="2">
        <v>10</v>
      </c>
      <c r="P298" s="27"/>
      <c r="Q298" s="17"/>
      <c r="R298" s="7"/>
      <c r="S298" s="22">
        <f t="shared" si="37"/>
        <v>10</v>
      </c>
      <c r="T298" s="25" t="e">
        <f t="shared" si="38"/>
        <v>#DIV/0!</v>
      </c>
    </row>
    <row r="299" spans="1:20" x14ac:dyDescent="0.2">
      <c r="A299" s="7" t="s">
        <v>18</v>
      </c>
      <c r="B299" s="1">
        <v>5</v>
      </c>
      <c r="C299" s="1">
        <v>12.5</v>
      </c>
      <c r="D299" s="1">
        <v>7.5</v>
      </c>
      <c r="E299" s="7">
        <v>16</v>
      </c>
      <c r="F299" s="1">
        <v>50</v>
      </c>
      <c r="G299" s="1">
        <v>1</v>
      </c>
      <c r="H299" s="7">
        <v>1</v>
      </c>
      <c r="I299" s="24">
        <f t="shared" si="41"/>
        <v>31.353094682826139</v>
      </c>
      <c r="J299" s="24">
        <f t="shared" si="42"/>
        <v>35.053825507893229</v>
      </c>
      <c r="K299" s="5">
        <f t="shared" si="34"/>
        <v>0.62706189365652276</v>
      </c>
      <c r="L299" s="30">
        <f t="shared" si="35"/>
        <v>1.9894367886486917</v>
      </c>
      <c r="M299" s="8">
        <f t="shared" si="36"/>
        <v>5.6086120812629175E-2</v>
      </c>
      <c r="N299" s="2">
        <v>11</v>
      </c>
      <c r="P299" s="27"/>
      <c r="Q299" s="17"/>
      <c r="R299" s="7"/>
      <c r="S299" s="22">
        <f t="shared" si="37"/>
        <v>11</v>
      </c>
      <c r="T299" s="25" t="e">
        <f t="shared" si="38"/>
        <v>#DIV/0!</v>
      </c>
    </row>
    <row r="300" spans="1:20" x14ac:dyDescent="0.2">
      <c r="A300" s="7" t="s">
        <v>18</v>
      </c>
      <c r="B300" s="1">
        <v>5</v>
      </c>
      <c r="C300" s="1">
        <v>12.5</v>
      </c>
      <c r="D300" s="1">
        <v>7.5</v>
      </c>
      <c r="E300" s="7">
        <v>16</v>
      </c>
      <c r="F300" s="1">
        <v>50</v>
      </c>
      <c r="G300" s="1">
        <v>3</v>
      </c>
      <c r="H300" s="7">
        <v>1</v>
      </c>
      <c r="I300" s="24">
        <f t="shared" si="41"/>
        <v>94.059284048478403</v>
      </c>
      <c r="J300" s="24">
        <f t="shared" si="42"/>
        <v>105.16147652367967</v>
      </c>
      <c r="K300" s="5">
        <f t="shared" si="34"/>
        <v>1.8811856809695682</v>
      </c>
      <c r="L300" s="30">
        <f t="shared" si="35"/>
        <v>1.9894367886486917</v>
      </c>
      <c r="M300" s="8">
        <f t="shared" si="36"/>
        <v>0.16825836243788747</v>
      </c>
      <c r="N300" s="2">
        <v>11</v>
      </c>
      <c r="P300" s="27"/>
      <c r="Q300" s="17"/>
      <c r="R300" s="7"/>
      <c r="S300" s="22">
        <f t="shared" si="37"/>
        <v>11</v>
      </c>
      <c r="T300" s="25" t="e">
        <f t="shared" si="38"/>
        <v>#DIV/0!</v>
      </c>
    </row>
    <row r="301" spans="1:20" x14ac:dyDescent="0.2">
      <c r="A301" s="7" t="s">
        <v>18</v>
      </c>
      <c r="B301" s="1">
        <v>5</v>
      </c>
      <c r="C301" s="1">
        <v>12.5</v>
      </c>
      <c r="D301" s="1">
        <v>7.5</v>
      </c>
      <c r="E301" s="7">
        <v>16</v>
      </c>
      <c r="F301" s="1">
        <v>50</v>
      </c>
      <c r="G301" s="1">
        <v>5</v>
      </c>
      <c r="H301" s="7">
        <v>1</v>
      </c>
      <c r="I301" s="24">
        <f t="shared" si="41"/>
        <v>156.7654734141307</v>
      </c>
      <c r="J301" s="24">
        <f t="shared" si="42"/>
        <v>175.26912753946615</v>
      </c>
      <c r="K301" s="5">
        <f t="shared" si="34"/>
        <v>3.1353094682826139</v>
      </c>
      <c r="L301" s="30">
        <f t="shared" si="35"/>
        <v>1.9894367886486917</v>
      </c>
      <c r="M301" s="8">
        <f t="shared" si="36"/>
        <v>0.28043060406314585</v>
      </c>
      <c r="N301" s="2">
        <v>11</v>
      </c>
      <c r="P301" s="27"/>
      <c r="Q301" s="17"/>
      <c r="R301" s="7"/>
      <c r="S301" s="22">
        <f t="shared" si="37"/>
        <v>11</v>
      </c>
      <c r="T301" s="25" t="e">
        <f t="shared" si="38"/>
        <v>#DIV/0!</v>
      </c>
    </row>
    <row r="302" spans="1:20" x14ac:dyDescent="0.2">
      <c r="A302" s="7" t="s">
        <v>18</v>
      </c>
      <c r="B302" s="1">
        <v>5</v>
      </c>
      <c r="C302" s="1">
        <v>12.5</v>
      </c>
      <c r="D302" s="1">
        <v>7.5</v>
      </c>
      <c r="E302" s="7">
        <v>16</v>
      </c>
      <c r="F302" s="1">
        <v>50</v>
      </c>
      <c r="G302" s="1">
        <v>7</v>
      </c>
      <c r="H302" s="7">
        <v>1</v>
      </c>
      <c r="I302" s="24">
        <f t="shared" si="41"/>
        <v>219.47166277978295</v>
      </c>
      <c r="J302" s="24">
        <f t="shared" si="42"/>
        <v>245.37677855525257</v>
      </c>
      <c r="K302" s="5">
        <f t="shared" si="34"/>
        <v>4.3894332555956588</v>
      </c>
      <c r="L302" s="30">
        <f t="shared" si="35"/>
        <v>1.9894367886486917</v>
      </c>
      <c r="M302" s="8">
        <f t="shared" si="36"/>
        <v>0.39260284568840409</v>
      </c>
      <c r="N302" s="2">
        <v>11</v>
      </c>
      <c r="P302" s="27"/>
      <c r="Q302" s="17"/>
      <c r="R302" s="7"/>
      <c r="S302" s="22">
        <f t="shared" si="37"/>
        <v>11</v>
      </c>
      <c r="T302" s="25" t="e">
        <f t="shared" si="38"/>
        <v>#DIV/0!</v>
      </c>
    </row>
    <row r="303" spans="1:20" x14ac:dyDescent="0.2">
      <c r="A303" s="7" t="s">
        <v>18</v>
      </c>
      <c r="B303" s="1">
        <v>5</v>
      </c>
      <c r="C303" s="1">
        <v>12.5</v>
      </c>
      <c r="D303" s="1">
        <v>7.5</v>
      </c>
      <c r="E303" s="7">
        <v>16</v>
      </c>
      <c r="F303" s="1">
        <v>50</v>
      </c>
      <c r="G303" s="1">
        <v>1</v>
      </c>
      <c r="H303" s="7">
        <v>2</v>
      </c>
      <c r="I303" s="24">
        <f t="shared" si="41"/>
        <v>62.706189365652278</v>
      </c>
      <c r="J303" s="24">
        <f t="shared" si="42"/>
        <v>70.107651015786459</v>
      </c>
      <c r="K303" s="5">
        <f t="shared" si="34"/>
        <v>1.2541237873130455</v>
      </c>
      <c r="L303" s="30">
        <f t="shared" si="35"/>
        <v>0.99471839432434583</v>
      </c>
      <c r="M303" s="8">
        <f t="shared" si="36"/>
        <v>0.2243444832505167</v>
      </c>
      <c r="N303" s="2">
        <v>32</v>
      </c>
      <c r="O303" s="2">
        <v>17</v>
      </c>
      <c r="P303" s="27">
        <v>22</v>
      </c>
      <c r="Q303" s="27"/>
      <c r="R303" s="26"/>
      <c r="S303" s="22">
        <f t="shared" si="37"/>
        <v>23.666666666666668</v>
      </c>
      <c r="T303" s="25">
        <f t="shared" si="38"/>
        <v>7.637626158259736</v>
      </c>
    </row>
    <row r="304" spans="1:20" x14ac:dyDescent="0.2">
      <c r="A304" s="7" t="s">
        <v>18</v>
      </c>
      <c r="B304" s="1">
        <v>5</v>
      </c>
      <c r="C304" s="1">
        <v>12.5</v>
      </c>
      <c r="D304" s="1">
        <v>7.5</v>
      </c>
      <c r="E304" s="7">
        <v>16</v>
      </c>
      <c r="F304" s="1">
        <v>50</v>
      </c>
      <c r="G304" s="1">
        <v>2</v>
      </c>
      <c r="H304" s="7">
        <v>2</v>
      </c>
      <c r="I304" s="24">
        <f t="shared" ref="I304:I316" si="43">(2*PI()*G304*(H304/1000)*998*(B304/1000))/0.001</f>
        <v>125.41237873130456</v>
      </c>
      <c r="J304" s="24">
        <f t="shared" ref="J304:J316" si="44">I304*SQRT(C304/(2*B304))</f>
        <v>140.21530203157292</v>
      </c>
      <c r="K304" s="5">
        <f t="shared" si="34"/>
        <v>2.508247574626091</v>
      </c>
      <c r="L304" s="30">
        <f t="shared" si="35"/>
        <v>0.99471839432434583</v>
      </c>
      <c r="M304" s="8">
        <f t="shared" si="36"/>
        <v>0.4486889665010334</v>
      </c>
      <c r="Q304" s="1">
        <v>36</v>
      </c>
      <c r="R304" s="7">
        <v>25</v>
      </c>
      <c r="S304" s="22">
        <f t="shared" si="37"/>
        <v>30.5</v>
      </c>
      <c r="T304" s="25">
        <f t="shared" si="38"/>
        <v>7.7781745930520225</v>
      </c>
    </row>
    <row r="305" spans="1:20" x14ac:dyDescent="0.2">
      <c r="A305" s="7" t="s">
        <v>18</v>
      </c>
      <c r="B305" s="1">
        <v>5</v>
      </c>
      <c r="C305" s="1">
        <v>12.5</v>
      </c>
      <c r="D305" s="1">
        <v>7.5</v>
      </c>
      <c r="E305" s="7">
        <v>16</v>
      </c>
      <c r="F305" s="1">
        <v>50</v>
      </c>
      <c r="G305" s="1">
        <v>3</v>
      </c>
      <c r="H305" s="7">
        <v>2</v>
      </c>
      <c r="I305" s="24">
        <f t="shared" si="43"/>
        <v>188.11856809695681</v>
      </c>
      <c r="J305" s="24">
        <f t="shared" si="44"/>
        <v>210.32295304735933</v>
      </c>
      <c r="K305" s="5">
        <f t="shared" si="34"/>
        <v>3.7623713619391363</v>
      </c>
      <c r="L305" s="30">
        <f t="shared" si="35"/>
        <v>0.99471839432434583</v>
      </c>
      <c r="M305" s="8">
        <f t="shared" si="36"/>
        <v>0.67303344975154988</v>
      </c>
      <c r="N305" s="2">
        <v>70</v>
      </c>
      <c r="O305" s="2">
        <v>78</v>
      </c>
      <c r="P305" s="27">
        <v>75</v>
      </c>
      <c r="Q305" s="1">
        <v>35</v>
      </c>
      <c r="R305" s="7">
        <v>35</v>
      </c>
      <c r="S305" s="22">
        <f t="shared" si="37"/>
        <v>58.6</v>
      </c>
      <c r="T305" s="25">
        <f t="shared" si="38"/>
        <v>21.732464195300086</v>
      </c>
    </row>
    <row r="306" spans="1:20" x14ac:dyDescent="0.2">
      <c r="A306" s="7" t="s">
        <v>18</v>
      </c>
      <c r="B306" s="1">
        <v>5</v>
      </c>
      <c r="C306" s="1">
        <v>12.5</v>
      </c>
      <c r="D306" s="1">
        <v>7.5</v>
      </c>
      <c r="E306" s="7">
        <v>16</v>
      </c>
      <c r="F306" s="1">
        <v>50</v>
      </c>
      <c r="G306" s="1">
        <v>4</v>
      </c>
      <c r="H306" s="7">
        <v>2</v>
      </c>
      <c r="I306" s="24">
        <f t="shared" si="43"/>
        <v>250.82475746260911</v>
      </c>
      <c r="J306" s="24">
        <f t="shared" si="44"/>
        <v>280.43060406314584</v>
      </c>
      <c r="K306" s="5">
        <f t="shared" si="34"/>
        <v>5.0164951492521821</v>
      </c>
      <c r="L306" s="30">
        <f t="shared" si="35"/>
        <v>0.99471839432434583</v>
      </c>
      <c r="M306" s="8">
        <f t="shared" si="36"/>
        <v>0.89737793300206681</v>
      </c>
      <c r="Q306" s="1">
        <v>61</v>
      </c>
      <c r="R306" s="7">
        <v>63</v>
      </c>
      <c r="S306" s="22">
        <f t="shared" si="37"/>
        <v>62</v>
      </c>
      <c r="T306" s="25">
        <f t="shared" si="38"/>
        <v>1.4142135623730951</v>
      </c>
    </row>
    <row r="307" spans="1:20" x14ac:dyDescent="0.2">
      <c r="A307" s="7" t="s">
        <v>18</v>
      </c>
      <c r="B307" s="1">
        <v>5</v>
      </c>
      <c r="C307" s="1">
        <v>12.5</v>
      </c>
      <c r="D307" s="1">
        <v>7.5</v>
      </c>
      <c r="E307" s="7">
        <v>16</v>
      </c>
      <c r="F307" s="1">
        <v>50</v>
      </c>
      <c r="G307" s="1">
        <v>5</v>
      </c>
      <c r="H307" s="7">
        <v>2</v>
      </c>
      <c r="I307" s="24">
        <f t="shared" si="43"/>
        <v>313.53094682826139</v>
      </c>
      <c r="J307" s="24">
        <f t="shared" si="44"/>
        <v>350.53825507893231</v>
      </c>
      <c r="K307" s="5">
        <f t="shared" si="34"/>
        <v>6.2706189365652278</v>
      </c>
      <c r="L307" s="30">
        <f t="shared" si="35"/>
        <v>0.99471839432434583</v>
      </c>
      <c r="M307" s="8">
        <f t="shared" si="36"/>
        <v>1.1217224162525834</v>
      </c>
      <c r="N307" s="2">
        <v>60</v>
      </c>
      <c r="O307" s="2">
        <v>55</v>
      </c>
      <c r="P307" s="27">
        <v>40</v>
      </c>
      <c r="Q307" s="1">
        <v>43</v>
      </c>
      <c r="R307" s="7">
        <v>39</v>
      </c>
      <c r="S307" s="22">
        <f t="shared" si="37"/>
        <v>47.4</v>
      </c>
      <c r="T307" s="25">
        <f t="shared" si="38"/>
        <v>9.5026312145636904</v>
      </c>
    </row>
    <row r="308" spans="1:20" x14ac:dyDescent="0.2">
      <c r="A308" s="7" t="s">
        <v>18</v>
      </c>
      <c r="B308" s="1">
        <v>5</v>
      </c>
      <c r="C308" s="1">
        <v>12.5</v>
      </c>
      <c r="D308" s="1">
        <v>7.5</v>
      </c>
      <c r="E308" s="7">
        <v>16</v>
      </c>
      <c r="F308" s="1">
        <v>50</v>
      </c>
      <c r="G308" s="1">
        <v>6</v>
      </c>
      <c r="H308" s="7">
        <v>2</v>
      </c>
      <c r="I308" s="24">
        <f t="shared" si="43"/>
        <v>376.23713619391361</v>
      </c>
      <c r="J308" s="24">
        <f t="shared" si="44"/>
        <v>420.64590609471867</v>
      </c>
      <c r="K308" s="5">
        <f t="shared" si="34"/>
        <v>7.5247427238782727</v>
      </c>
      <c r="L308" s="30">
        <f t="shared" si="35"/>
        <v>0.99471839432434583</v>
      </c>
      <c r="M308" s="8">
        <f t="shared" si="36"/>
        <v>1.3460668995030998</v>
      </c>
      <c r="Q308" s="1">
        <v>44</v>
      </c>
      <c r="R308" s="7">
        <v>47</v>
      </c>
      <c r="S308" s="22">
        <f t="shared" si="37"/>
        <v>45.5</v>
      </c>
      <c r="T308" s="25">
        <f t="shared" si="38"/>
        <v>2.1213203435596424</v>
      </c>
    </row>
    <row r="309" spans="1:20" x14ac:dyDescent="0.2">
      <c r="A309" s="7" t="s">
        <v>18</v>
      </c>
      <c r="B309" s="1">
        <v>5</v>
      </c>
      <c r="C309" s="1">
        <v>12.5</v>
      </c>
      <c r="D309" s="1">
        <v>7.5</v>
      </c>
      <c r="E309" s="7">
        <v>16</v>
      </c>
      <c r="F309" s="1">
        <v>50</v>
      </c>
      <c r="G309" s="1">
        <v>7</v>
      </c>
      <c r="H309" s="7">
        <v>2</v>
      </c>
      <c r="I309" s="24">
        <f t="shared" si="43"/>
        <v>438.94332555956589</v>
      </c>
      <c r="J309" s="24">
        <f t="shared" si="44"/>
        <v>490.75355711050514</v>
      </c>
      <c r="K309" s="5">
        <f t="shared" si="34"/>
        <v>8.7788665111913176</v>
      </c>
      <c r="L309" s="30">
        <f t="shared" si="35"/>
        <v>0.99471839432434583</v>
      </c>
      <c r="M309" s="8">
        <f t="shared" si="36"/>
        <v>1.5704113827536164</v>
      </c>
      <c r="N309" s="2">
        <v>30</v>
      </c>
      <c r="O309" s="2">
        <v>49</v>
      </c>
      <c r="P309" s="27">
        <v>40</v>
      </c>
      <c r="Q309" s="1">
        <v>24</v>
      </c>
      <c r="R309" s="7">
        <v>17</v>
      </c>
      <c r="S309" s="22">
        <f t="shared" si="37"/>
        <v>32</v>
      </c>
      <c r="T309" s="25">
        <f t="shared" si="38"/>
        <v>12.708265027138834</v>
      </c>
    </row>
    <row r="310" spans="1:20" x14ac:dyDescent="0.2">
      <c r="A310" s="7" t="s">
        <v>18</v>
      </c>
      <c r="B310" s="1">
        <v>5</v>
      </c>
      <c r="C310" s="1">
        <v>12.5</v>
      </c>
      <c r="D310" s="1">
        <v>7.5</v>
      </c>
      <c r="E310" s="7">
        <v>16</v>
      </c>
      <c r="F310" s="1">
        <v>50</v>
      </c>
      <c r="G310" s="1">
        <v>1</v>
      </c>
      <c r="H310" s="7">
        <v>4</v>
      </c>
      <c r="I310" s="24">
        <f t="shared" si="43"/>
        <v>125.41237873130456</v>
      </c>
      <c r="J310" s="24">
        <f t="shared" si="44"/>
        <v>140.21530203157292</v>
      </c>
      <c r="K310" s="5">
        <f t="shared" si="34"/>
        <v>2.508247574626091</v>
      </c>
      <c r="L310" s="30">
        <f t="shared" si="35"/>
        <v>0.49735919716217292</v>
      </c>
      <c r="M310" s="8">
        <f t="shared" si="36"/>
        <v>0.89737793300206681</v>
      </c>
      <c r="N310" s="2">
        <v>43</v>
      </c>
      <c r="O310" s="2">
        <v>32</v>
      </c>
      <c r="P310" s="27">
        <v>31</v>
      </c>
      <c r="S310" s="22">
        <f t="shared" si="37"/>
        <v>35.333333333333336</v>
      </c>
      <c r="T310" s="25">
        <f t="shared" si="38"/>
        <v>6.6583281184793872</v>
      </c>
    </row>
    <row r="311" spans="1:20" x14ac:dyDescent="0.2">
      <c r="A311" s="7" t="s">
        <v>18</v>
      </c>
      <c r="B311" s="1">
        <v>5</v>
      </c>
      <c r="C311" s="1">
        <v>12.5</v>
      </c>
      <c r="D311" s="1">
        <v>7.5</v>
      </c>
      <c r="E311" s="7">
        <v>16</v>
      </c>
      <c r="F311" s="1">
        <v>50</v>
      </c>
      <c r="G311" s="1">
        <v>2</v>
      </c>
      <c r="H311" s="7">
        <v>4</v>
      </c>
      <c r="I311" s="24">
        <f t="shared" si="43"/>
        <v>250.82475746260911</v>
      </c>
      <c r="J311" s="24">
        <f t="shared" si="44"/>
        <v>280.43060406314584</v>
      </c>
      <c r="K311" s="5">
        <f t="shared" si="34"/>
        <v>5.0164951492521821</v>
      </c>
      <c r="L311" s="30">
        <f t="shared" si="35"/>
        <v>0.49735919716217292</v>
      </c>
      <c r="M311" s="8">
        <f t="shared" si="36"/>
        <v>1.7947558660041336</v>
      </c>
      <c r="Q311" s="1">
        <v>38</v>
      </c>
      <c r="R311" s="7">
        <v>28</v>
      </c>
      <c r="S311" s="22">
        <f t="shared" si="37"/>
        <v>33</v>
      </c>
      <c r="T311" s="25">
        <f t="shared" si="38"/>
        <v>7.0710678118654755</v>
      </c>
    </row>
    <row r="312" spans="1:20" x14ac:dyDescent="0.2">
      <c r="A312" s="7" t="s">
        <v>18</v>
      </c>
      <c r="B312" s="1">
        <v>5</v>
      </c>
      <c r="C312" s="1">
        <v>12.5</v>
      </c>
      <c r="D312" s="1">
        <v>7.5</v>
      </c>
      <c r="E312" s="7">
        <v>16</v>
      </c>
      <c r="F312" s="1">
        <v>50</v>
      </c>
      <c r="G312" s="1">
        <v>3</v>
      </c>
      <c r="H312" s="7">
        <v>4</v>
      </c>
      <c r="I312" s="24">
        <f t="shared" si="43"/>
        <v>376.23713619391361</v>
      </c>
      <c r="J312" s="24">
        <f t="shared" si="44"/>
        <v>420.64590609471867</v>
      </c>
      <c r="K312" s="5">
        <f t="shared" si="34"/>
        <v>7.5247427238782727</v>
      </c>
      <c r="L312" s="30">
        <f t="shared" si="35"/>
        <v>0.49735919716217292</v>
      </c>
      <c r="M312" s="8">
        <f t="shared" si="36"/>
        <v>2.6921337990061995</v>
      </c>
      <c r="N312" s="2">
        <v>28</v>
      </c>
      <c r="O312" s="2">
        <v>35</v>
      </c>
      <c r="P312" s="27">
        <v>35</v>
      </c>
      <c r="Q312" s="1">
        <v>49</v>
      </c>
      <c r="R312" s="7">
        <v>52</v>
      </c>
      <c r="S312" s="22">
        <f t="shared" si="37"/>
        <v>39.799999999999997</v>
      </c>
      <c r="T312" s="25">
        <f t="shared" si="38"/>
        <v>10.232301793829189</v>
      </c>
    </row>
    <row r="313" spans="1:20" x14ac:dyDescent="0.2">
      <c r="A313" s="7" t="s">
        <v>18</v>
      </c>
      <c r="B313" s="1">
        <v>5</v>
      </c>
      <c r="C313" s="1">
        <v>12.5</v>
      </c>
      <c r="D313" s="1">
        <v>7.5</v>
      </c>
      <c r="E313" s="7">
        <v>16</v>
      </c>
      <c r="F313" s="1">
        <v>50</v>
      </c>
      <c r="G313" s="1">
        <v>4</v>
      </c>
      <c r="H313" s="7">
        <v>4</v>
      </c>
      <c r="I313" s="24">
        <f t="shared" si="43"/>
        <v>501.64951492521823</v>
      </c>
      <c r="J313" s="24">
        <f t="shared" si="44"/>
        <v>560.86120812629167</v>
      </c>
      <c r="K313" s="5">
        <f t="shared" si="34"/>
        <v>10.032990298504364</v>
      </c>
      <c r="L313" s="30">
        <f t="shared" si="35"/>
        <v>0.49735919716217292</v>
      </c>
      <c r="M313" s="8">
        <f t="shared" si="36"/>
        <v>3.5895117320082672</v>
      </c>
      <c r="Q313" s="1">
        <v>44</v>
      </c>
      <c r="R313" s="7">
        <v>45</v>
      </c>
      <c r="S313" s="22">
        <f t="shared" si="37"/>
        <v>44.5</v>
      </c>
      <c r="T313" s="25">
        <f t="shared" si="38"/>
        <v>0.70710678118654757</v>
      </c>
    </row>
    <row r="314" spans="1:20" x14ac:dyDescent="0.2">
      <c r="A314" s="7" t="s">
        <v>18</v>
      </c>
      <c r="B314" s="1">
        <v>5</v>
      </c>
      <c r="C314" s="1">
        <v>12.5</v>
      </c>
      <c r="D314" s="1">
        <v>7.5</v>
      </c>
      <c r="E314" s="7">
        <v>16</v>
      </c>
      <c r="F314" s="1">
        <v>50</v>
      </c>
      <c r="G314" s="1">
        <v>5</v>
      </c>
      <c r="H314" s="7">
        <v>4</v>
      </c>
      <c r="I314" s="24">
        <f t="shared" si="43"/>
        <v>627.06189365652278</v>
      </c>
      <c r="J314" s="24">
        <f t="shared" si="44"/>
        <v>701.07651015786462</v>
      </c>
      <c r="K314" s="5">
        <f t="shared" si="34"/>
        <v>12.541237873130456</v>
      </c>
      <c r="L314" s="30">
        <f t="shared" si="35"/>
        <v>0.49735919716217292</v>
      </c>
      <c r="M314" s="8">
        <f t="shared" si="36"/>
        <v>4.4868896650103336</v>
      </c>
      <c r="N314" s="2">
        <v>20</v>
      </c>
      <c r="O314" s="2">
        <v>48</v>
      </c>
      <c r="P314" s="27">
        <v>22</v>
      </c>
      <c r="R314" s="7"/>
      <c r="S314" s="22">
        <f t="shared" si="37"/>
        <v>30</v>
      </c>
      <c r="T314" s="25">
        <f t="shared" si="38"/>
        <v>15.620499351813308</v>
      </c>
    </row>
    <row r="315" spans="1:20" x14ac:dyDescent="0.2">
      <c r="A315" s="7" t="s">
        <v>18</v>
      </c>
      <c r="B315" s="1">
        <v>5</v>
      </c>
      <c r="C315" s="1">
        <v>12.5</v>
      </c>
      <c r="D315" s="1">
        <v>7.5</v>
      </c>
      <c r="E315" s="7">
        <v>16</v>
      </c>
      <c r="F315" s="1">
        <v>50</v>
      </c>
      <c r="G315" s="1">
        <v>6</v>
      </c>
      <c r="H315" s="7">
        <v>4</v>
      </c>
      <c r="I315" s="24">
        <f t="shared" si="43"/>
        <v>752.47427238782723</v>
      </c>
      <c r="J315" s="24">
        <f t="shared" si="44"/>
        <v>841.29181218943734</v>
      </c>
      <c r="K315" s="5">
        <f t="shared" si="34"/>
        <v>15.049485447756545</v>
      </c>
      <c r="L315" s="30">
        <f t="shared" si="35"/>
        <v>0.49735919716217292</v>
      </c>
      <c r="M315" s="8">
        <f t="shared" si="36"/>
        <v>5.3842675980123991</v>
      </c>
      <c r="Q315" s="1">
        <v>40</v>
      </c>
      <c r="R315" s="7">
        <v>42</v>
      </c>
      <c r="S315" s="22">
        <f>AVERAGE(N315:R315)</f>
        <v>41</v>
      </c>
      <c r="T315" s="25">
        <f>STDEV(N315:R315)</f>
        <v>1.4142135623730951</v>
      </c>
    </row>
    <row r="316" spans="1:20" x14ac:dyDescent="0.2">
      <c r="A316" s="7" t="s">
        <v>18</v>
      </c>
      <c r="B316" s="1">
        <v>5</v>
      </c>
      <c r="C316" s="1">
        <v>12.5</v>
      </c>
      <c r="D316" s="1">
        <v>7.5</v>
      </c>
      <c r="E316" s="7">
        <v>16</v>
      </c>
      <c r="F316" s="1">
        <v>50</v>
      </c>
      <c r="G316" s="1">
        <v>1</v>
      </c>
      <c r="H316" s="7">
        <v>8</v>
      </c>
      <c r="I316" s="18">
        <f t="shared" si="43"/>
        <v>250.82475746260911</v>
      </c>
      <c r="J316" s="24">
        <f t="shared" si="44"/>
        <v>280.43060406314584</v>
      </c>
      <c r="K316" s="5">
        <f t="shared" si="34"/>
        <v>5.0164951492521821</v>
      </c>
      <c r="L316" s="32">
        <f t="shared" si="35"/>
        <v>0.24867959858108646</v>
      </c>
      <c r="M316" s="8">
        <f t="shared" si="36"/>
        <v>3.5895117320082672</v>
      </c>
      <c r="N316" s="27">
        <v>30</v>
      </c>
      <c r="O316" s="27"/>
      <c r="P316" s="27"/>
      <c r="Q316" s="17"/>
      <c r="R316" s="7"/>
      <c r="S316" s="22">
        <f t="shared" si="37"/>
        <v>30</v>
      </c>
      <c r="T316" s="25" t="e">
        <f t="shared" si="38"/>
        <v>#DIV/0!</v>
      </c>
    </row>
    <row r="317" spans="1:20" x14ac:dyDescent="0.2">
      <c r="A317" s="6" t="s">
        <v>18</v>
      </c>
      <c r="B317" s="4">
        <v>5</v>
      </c>
      <c r="C317" s="4">
        <v>12.5</v>
      </c>
      <c r="D317" s="4">
        <v>7.5</v>
      </c>
      <c r="E317" s="6">
        <v>16</v>
      </c>
      <c r="F317" s="4">
        <v>50</v>
      </c>
      <c r="G317" s="4">
        <v>3</v>
      </c>
      <c r="H317" s="6">
        <v>8</v>
      </c>
      <c r="I317" s="19">
        <f>(2*PI()*G317*(H317/1000)*998*(B317/1000))/0.001</f>
        <v>752.47427238782723</v>
      </c>
      <c r="J317" s="9">
        <f>I317*SQRT(C317/(2*B317))</f>
        <v>841.29181218943734</v>
      </c>
      <c r="K317" s="9">
        <f t="shared" si="34"/>
        <v>15.049485447756545</v>
      </c>
      <c r="L317" s="31">
        <f t="shared" si="35"/>
        <v>0.24867959858108646</v>
      </c>
      <c r="M317" s="10">
        <f t="shared" si="36"/>
        <v>10.768535196024798</v>
      </c>
      <c r="N317" s="20">
        <v>14</v>
      </c>
      <c r="O317" s="20"/>
      <c r="P317" s="20"/>
      <c r="Q317" s="4"/>
      <c r="R317" s="6"/>
      <c r="S317" s="23">
        <f t="shared" si="37"/>
        <v>14</v>
      </c>
      <c r="T317" s="11" t="e">
        <f t="shared" si="38"/>
        <v>#DIV/0!</v>
      </c>
    </row>
    <row r="318" spans="1:20" x14ac:dyDescent="0.2">
      <c r="A318" s="12" t="s">
        <v>19</v>
      </c>
      <c r="B318" s="1">
        <v>5</v>
      </c>
      <c r="C318" s="1">
        <v>12.5</v>
      </c>
      <c r="D318" s="1">
        <v>12.5</v>
      </c>
      <c r="E318" s="12">
        <v>16.12</v>
      </c>
      <c r="F318" s="1">
        <v>10</v>
      </c>
      <c r="G318" s="1">
        <v>0</v>
      </c>
      <c r="H318" s="12">
        <v>0</v>
      </c>
      <c r="I318" s="5">
        <f>(2*PI()*G318*(H318/1000)*998*(B318/1000))/0.001</f>
        <v>0</v>
      </c>
      <c r="J318" s="5">
        <f>I318*SQRT(C318/(2*B318))</f>
        <v>0</v>
      </c>
      <c r="K318" s="5">
        <f t="shared" si="34"/>
        <v>0</v>
      </c>
      <c r="L318" s="30" t="e">
        <f t="shared" si="35"/>
        <v>#DIV/0!</v>
      </c>
      <c r="M318" s="8">
        <f t="shared" si="36"/>
        <v>0</v>
      </c>
      <c r="N318" s="2">
        <v>10</v>
      </c>
      <c r="P318" s="27"/>
      <c r="Q318" s="17"/>
      <c r="R318" s="7"/>
      <c r="S318" s="22">
        <f t="shared" si="37"/>
        <v>10</v>
      </c>
      <c r="T318" s="25" t="e">
        <f t="shared" si="38"/>
        <v>#DIV/0!</v>
      </c>
    </row>
    <row r="319" spans="1:20" x14ac:dyDescent="0.2">
      <c r="A319" s="7" t="s">
        <v>19</v>
      </c>
      <c r="B319" s="1">
        <v>5</v>
      </c>
      <c r="C319" s="1">
        <v>12.5</v>
      </c>
      <c r="D319" s="1">
        <v>12.5</v>
      </c>
      <c r="E319" s="7">
        <v>16.12</v>
      </c>
      <c r="F319" s="1">
        <v>10</v>
      </c>
      <c r="G319" s="1">
        <v>1</v>
      </c>
      <c r="H319" s="7">
        <v>1</v>
      </c>
      <c r="I319" s="5">
        <f t="shared" ref="I319:I323" si="45">(2*PI()*G319*(H319/1000)*998*(B319/1000))/0.001</f>
        <v>31.353094682826139</v>
      </c>
      <c r="J319" s="5">
        <f t="shared" ref="J319:J323" si="46">I319*SQRT(C319/(2*B319))</f>
        <v>35.053825507893229</v>
      </c>
      <c r="K319" s="5">
        <f t="shared" si="34"/>
        <v>3.1353094682826139</v>
      </c>
      <c r="L319" s="30">
        <f t="shared" si="35"/>
        <v>1.9894367886486917</v>
      </c>
      <c r="M319" s="8">
        <f t="shared" si="36"/>
        <v>0.28043060406314585</v>
      </c>
      <c r="N319" s="2">
        <v>14</v>
      </c>
      <c r="P319" s="27"/>
      <c r="Q319" s="17"/>
      <c r="R319" s="7"/>
      <c r="S319" s="22">
        <f t="shared" si="37"/>
        <v>14</v>
      </c>
      <c r="T319" s="25" t="e">
        <f t="shared" si="38"/>
        <v>#DIV/0!</v>
      </c>
    </row>
    <row r="320" spans="1:20" x14ac:dyDescent="0.2">
      <c r="A320" s="7" t="s">
        <v>19</v>
      </c>
      <c r="B320" s="1">
        <v>5</v>
      </c>
      <c r="C320" s="1">
        <v>12.5</v>
      </c>
      <c r="D320" s="1">
        <v>12.5</v>
      </c>
      <c r="E320" s="7">
        <v>16.12</v>
      </c>
      <c r="F320" s="1">
        <v>10</v>
      </c>
      <c r="G320" s="1">
        <v>3</v>
      </c>
      <c r="H320" s="7">
        <v>1</v>
      </c>
      <c r="I320" s="5">
        <f t="shared" si="45"/>
        <v>94.059284048478403</v>
      </c>
      <c r="J320" s="5">
        <f t="shared" si="46"/>
        <v>105.16147652367967</v>
      </c>
      <c r="K320" s="5">
        <f t="shared" si="34"/>
        <v>9.40592840484784</v>
      </c>
      <c r="L320" s="30">
        <f t="shared" si="35"/>
        <v>1.9894367886486917</v>
      </c>
      <c r="M320" s="8">
        <f t="shared" si="36"/>
        <v>0.84129181218943727</v>
      </c>
      <c r="N320" s="2">
        <v>15</v>
      </c>
      <c r="P320" s="27"/>
      <c r="Q320" s="17"/>
      <c r="R320" s="7"/>
      <c r="S320" s="22">
        <f t="shared" si="37"/>
        <v>15</v>
      </c>
      <c r="T320" s="25" t="e">
        <f t="shared" si="38"/>
        <v>#DIV/0!</v>
      </c>
    </row>
    <row r="321" spans="1:20" x14ac:dyDescent="0.2">
      <c r="A321" s="7" t="s">
        <v>19</v>
      </c>
      <c r="B321" s="1">
        <v>5</v>
      </c>
      <c r="C321" s="1">
        <v>12.5</v>
      </c>
      <c r="D321" s="1">
        <v>12.5</v>
      </c>
      <c r="E321" s="7">
        <v>16.12</v>
      </c>
      <c r="F321" s="1">
        <v>10</v>
      </c>
      <c r="G321" s="1">
        <v>5</v>
      </c>
      <c r="H321" s="7">
        <v>1</v>
      </c>
      <c r="I321" s="5">
        <f t="shared" si="45"/>
        <v>156.7654734141307</v>
      </c>
      <c r="J321" s="5">
        <f t="shared" si="46"/>
        <v>175.26912753946615</v>
      </c>
      <c r="K321" s="5">
        <f t="shared" si="34"/>
        <v>15.67654734141307</v>
      </c>
      <c r="L321" s="30">
        <f t="shared" si="35"/>
        <v>1.9894367886486917</v>
      </c>
      <c r="M321" s="8">
        <f t="shared" si="36"/>
        <v>1.4021530203157293</v>
      </c>
      <c r="N321" s="2">
        <v>16</v>
      </c>
      <c r="P321" s="27"/>
      <c r="Q321" s="17"/>
      <c r="R321" s="7"/>
      <c r="S321" s="22">
        <f t="shared" si="37"/>
        <v>16</v>
      </c>
      <c r="T321" s="25" t="e">
        <f t="shared" si="38"/>
        <v>#DIV/0!</v>
      </c>
    </row>
    <row r="322" spans="1:20" x14ac:dyDescent="0.2">
      <c r="A322" s="7" t="s">
        <v>19</v>
      </c>
      <c r="B322" s="1">
        <v>5</v>
      </c>
      <c r="C322" s="1">
        <v>12.5</v>
      </c>
      <c r="D322" s="1">
        <v>12.5</v>
      </c>
      <c r="E322" s="7">
        <v>16.12</v>
      </c>
      <c r="F322" s="1">
        <v>10</v>
      </c>
      <c r="G322" s="1">
        <v>7</v>
      </c>
      <c r="H322" s="7">
        <v>1</v>
      </c>
      <c r="I322" s="5">
        <f t="shared" si="45"/>
        <v>219.47166277978295</v>
      </c>
      <c r="J322" s="5">
        <f t="shared" si="46"/>
        <v>245.37677855525257</v>
      </c>
      <c r="K322" s="5">
        <f t="shared" si="34"/>
        <v>21.947166277978294</v>
      </c>
      <c r="L322" s="30">
        <f t="shared" si="35"/>
        <v>1.9894367886486917</v>
      </c>
      <c r="M322" s="8">
        <f t="shared" si="36"/>
        <v>1.9630142284420207</v>
      </c>
      <c r="N322" s="2">
        <v>17</v>
      </c>
      <c r="P322" s="27"/>
      <c r="Q322" s="17"/>
      <c r="R322" s="7"/>
      <c r="S322" s="22">
        <f t="shared" si="37"/>
        <v>17</v>
      </c>
      <c r="T322" s="25" t="e">
        <f t="shared" si="38"/>
        <v>#DIV/0!</v>
      </c>
    </row>
    <row r="323" spans="1:20" x14ac:dyDescent="0.2">
      <c r="A323" s="7" t="s">
        <v>19</v>
      </c>
      <c r="B323" s="1">
        <v>5</v>
      </c>
      <c r="C323" s="1">
        <v>12.5</v>
      </c>
      <c r="D323" s="1">
        <v>12.5</v>
      </c>
      <c r="E323" s="7">
        <v>16.12</v>
      </c>
      <c r="F323" s="1">
        <v>10</v>
      </c>
      <c r="G323" s="1">
        <v>1</v>
      </c>
      <c r="H323" s="7">
        <v>2</v>
      </c>
      <c r="I323" s="5">
        <f t="shared" si="45"/>
        <v>62.706189365652278</v>
      </c>
      <c r="J323" s="5">
        <f t="shared" si="46"/>
        <v>70.107651015786459</v>
      </c>
      <c r="K323" s="5">
        <f t="shared" si="34"/>
        <v>6.2706189365652278</v>
      </c>
      <c r="L323" s="30">
        <f t="shared" si="35"/>
        <v>0.99471839432434583</v>
      </c>
      <c r="M323" s="8">
        <f t="shared" si="36"/>
        <v>1.1217224162525834</v>
      </c>
      <c r="N323" s="2">
        <v>32</v>
      </c>
      <c r="O323" s="2">
        <v>36</v>
      </c>
      <c r="P323" s="27"/>
      <c r="Q323" s="17"/>
      <c r="R323" s="7"/>
      <c r="S323" s="22">
        <f t="shared" si="37"/>
        <v>34</v>
      </c>
      <c r="T323" s="25">
        <f t="shared" si="38"/>
        <v>2.8284271247461903</v>
      </c>
    </row>
    <row r="324" spans="1:20" x14ac:dyDescent="0.2">
      <c r="A324" s="7" t="s">
        <v>19</v>
      </c>
      <c r="B324" s="1">
        <v>5</v>
      </c>
      <c r="C324" s="1">
        <v>12.5</v>
      </c>
      <c r="D324" s="1">
        <v>12.5</v>
      </c>
      <c r="E324" s="7">
        <v>16.12</v>
      </c>
      <c r="F324" s="1">
        <v>10</v>
      </c>
      <c r="G324" s="1">
        <v>3</v>
      </c>
      <c r="H324" s="7">
        <v>2</v>
      </c>
      <c r="I324" s="5">
        <f t="shared" ref="I324:I335" si="47">(2*PI()*G324*(H324/1000)*998*(B324/1000))/0.001</f>
        <v>188.11856809695681</v>
      </c>
      <c r="J324" s="5">
        <f t="shared" ref="J324:J335" si="48">I324*SQRT(C324/(2*B324))</f>
        <v>210.32295304735933</v>
      </c>
      <c r="K324" s="5">
        <f t="shared" ref="K324:K387" si="49">I324/F324</f>
        <v>18.81185680969568</v>
      </c>
      <c r="L324" s="30">
        <f t="shared" ref="L324:L387" si="50">(C324/(2*PI()*H324))</f>
        <v>0.99471839432434583</v>
      </c>
      <c r="M324" s="8">
        <f t="shared" ref="M324:M387" si="51">((J324*(H324/C324))/F324)</f>
        <v>3.3651672487577491</v>
      </c>
      <c r="N324" s="2">
        <v>94</v>
      </c>
      <c r="O324" s="2">
        <v>93</v>
      </c>
      <c r="P324" s="27"/>
      <c r="Q324" s="17"/>
      <c r="R324" s="7"/>
      <c r="S324" s="22">
        <f t="shared" ref="S324:S337" si="52">AVERAGE(N324:R324)</f>
        <v>93.5</v>
      </c>
      <c r="T324" s="25">
        <f t="shared" ref="T324:T337" si="53">STDEV(N324:R324)</f>
        <v>0.70710678118654757</v>
      </c>
    </row>
    <row r="325" spans="1:20" x14ac:dyDescent="0.2">
      <c r="A325" s="7" t="s">
        <v>19</v>
      </c>
      <c r="B325" s="1">
        <v>5</v>
      </c>
      <c r="C325" s="1">
        <v>12.5</v>
      </c>
      <c r="D325" s="1">
        <v>12.5</v>
      </c>
      <c r="E325" s="7">
        <v>16.12</v>
      </c>
      <c r="F325" s="1">
        <v>10</v>
      </c>
      <c r="G325" s="1">
        <v>5</v>
      </c>
      <c r="H325" s="7">
        <v>2</v>
      </c>
      <c r="I325" s="5">
        <f t="shared" si="47"/>
        <v>313.53094682826139</v>
      </c>
      <c r="J325" s="5">
        <f t="shared" si="48"/>
        <v>350.53825507893231</v>
      </c>
      <c r="K325" s="5">
        <f t="shared" si="49"/>
        <v>31.353094682826139</v>
      </c>
      <c r="L325" s="30">
        <f t="shared" si="50"/>
        <v>0.99471839432434583</v>
      </c>
      <c r="M325" s="8">
        <f t="shared" si="51"/>
        <v>5.6086120812629172</v>
      </c>
      <c r="N325" s="2">
        <v>57</v>
      </c>
      <c r="O325" s="2">
        <v>58</v>
      </c>
      <c r="P325" s="27"/>
      <c r="Q325" s="17"/>
      <c r="R325" s="7"/>
      <c r="S325" s="22">
        <f t="shared" si="52"/>
        <v>57.5</v>
      </c>
      <c r="T325" s="25">
        <f t="shared" si="53"/>
        <v>0.70710678118654757</v>
      </c>
    </row>
    <row r="326" spans="1:20" x14ac:dyDescent="0.2">
      <c r="A326" s="7" t="s">
        <v>19</v>
      </c>
      <c r="B326" s="1">
        <v>5</v>
      </c>
      <c r="C326" s="1">
        <v>12.5</v>
      </c>
      <c r="D326" s="1">
        <v>12.5</v>
      </c>
      <c r="E326" s="7">
        <v>16.12</v>
      </c>
      <c r="F326" s="1">
        <v>10</v>
      </c>
      <c r="G326" s="1">
        <v>7</v>
      </c>
      <c r="H326" s="7">
        <v>2</v>
      </c>
      <c r="I326" s="5">
        <f t="shared" si="47"/>
        <v>438.94332555956589</v>
      </c>
      <c r="J326" s="5">
        <f t="shared" si="48"/>
        <v>490.75355711050514</v>
      </c>
      <c r="K326" s="5">
        <f t="shared" si="49"/>
        <v>43.894332555956588</v>
      </c>
      <c r="L326" s="30">
        <f t="shared" si="50"/>
        <v>0.99471839432434583</v>
      </c>
      <c r="M326" s="8">
        <f t="shared" si="51"/>
        <v>7.8520569137680827</v>
      </c>
      <c r="N326" s="2">
        <v>40</v>
      </c>
      <c r="O326" s="2">
        <v>46</v>
      </c>
      <c r="P326" s="27"/>
      <c r="Q326" s="17"/>
      <c r="R326" s="7"/>
      <c r="S326" s="22">
        <f t="shared" si="52"/>
        <v>43</v>
      </c>
      <c r="T326" s="25">
        <f t="shared" si="53"/>
        <v>4.2426406871192848</v>
      </c>
    </row>
    <row r="327" spans="1:20" x14ac:dyDescent="0.2">
      <c r="A327" s="7" t="s">
        <v>19</v>
      </c>
      <c r="B327" s="1">
        <v>5</v>
      </c>
      <c r="C327" s="1">
        <v>12.5</v>
      </c>
      <c r="D327" s="1">
        <v>12.5</v>
      </c>
      <c r="E327" s="7">
        <v>16.12</v>
      </c>
      <c r="F327" s="1">
        <v>10</v>
      </c>
      <c r="G327" s="1">
        <v>1</v>
      </c>
      <c r="H327" s="7">
        <v>4</v>
      </c>
      <c r="I327" s="5">
        <f t="shared" si="47"/>
        <v>125.41237873130456</v>
      </c>
      <c r="J327" s="5">
        <f t="shared" si="48"/>
        <v>140.21530203157292</v>
      </c>
      <c r="K327" s="5">
        <f t="shared" si="49"/>
        <v>12.541237873130456</v>
      </c>
      <c r="L327" s="30">
        <f t="shared" si="50"/>
        <v>0.49735919716217292</v>
      </c>
      <c r="M327" s="8">
        <f t="shared" si="51"/>
        <v>4.4868896650103336</v>
      </c>
      <c r="N327" s="2">
        <v>52</v>
      </c>
      <c r="P327" s="27"/>
      <c r="Q327" s="17"/>
      <c r="R327" s="7"/>
      <c r="S327" s="22">
        <f t="shared" si="52"/>
        <v>52</v>
      </c>
      <c r="T327" s="25" t="e">
        <f t="shared" si="53"/>
        <v>#DIV/0!</v>
      </c>
    </row>
    <row r="328" spans="1:20" x14ac:dyDescent="0.2">
      <c r="A328" s="7" t="s">
        <v>19</v>
      </c>
      <c r="B328" s="1">
        <v>5</v>
      </c>
      <c r="C328" s="1">
        <v>12.5</v>
      </c>
      <c r="D328" s="1">
        <v>12.5</v>
      </c>
      <c r="E328" s="7">
        <v>16.12</v>
      </c>
      <c r="F328" s="1">
        <v>10</v>
      </c>
      <c r="G328" s="1">
        <v>3</v>
      </c>
      <c r="H328" s="7">
        <v>4</v>
      </c>
      <c r="I328" s="5">
        <f t="shared" si="47"/>
        <v>376.23713619391361</v>
      </c>
      <c r="J328" s="5">
        <f t="shared" si="48"/>
        <v>420.64590609471867</v>
      </c>
      <c r="K328" s="5">
        <f t="shared" si="49"/>
        <v>37.62371361939136</v>
      </c>
      <c r="L328" s="30">
        <f t="shared" si="50"/>
        <v>0.49735919716217292</v>
      </c>
      <c r="M328" s="8">
        <f t="shared" si="51"/>
        <v>13.460668995030996</v>
      </c>
      <c r="N328" s="2">
        <v>23</v>
      </c>
      <c r="P328" s="27"/>
      <c r="Q328" s="17"/>
      <c r="R328" s="7"/>
      <c r="S328" s="22">
        <f t="shared" si="52"/>
        <v>23</v>
      </c>
      <c r="T328" s="25" t="e">
        <f t="shared" si="53"/>
        <v>#DIV/0!</v>
      </c>
    </row>
    <row r="329" spans="1:20" x14ac:dyDescent="0.2">
      <c r="A329" s="7" t="s">
        <v>19</v>
      </c>
      <c r="B329" s="1">
        <v>5</v>
      </c>
      <c r="C329" s="1">
        <v>12.5</v>
      </c>
      <c r="D329" s="1">
        <v>12.5</v>
      </c>
      <c r="E329" s="7">
        <v>16.12</v>
      </c>
      <c r="F329" s="1">
        <v>10</v>
      </c>
      <c r="G329" s="1">
        <v>5</v>
      </c>
      <c r="H329" s="7">
        <v>4</v>
      </c>
      <c r="I329" s="5">
        <f t="shared" si="47"/>
        <v>627.06189365652278</v>
      </c>
      <c r="J329" s="5">
        <f t="shared" si="48"/>
        <v>701.07651015786462</v>
      </c>
      <c r="K329" s="5">
        <f t="shared" si="49"/>
        <v>62.706189365652278</v>
      </c>
      <c r="L329" s="30">
        <f t="shared" si="50"/>
        <v>0.49735919716217292</v>
      </c>
      <c r="M329" s="8">
        <f t="shared" si="51"/>
        <v>22.434448325051669</v>
      </c>
      <c r="N329" s="2">
        <v>13</v>
      </c>
      <c r="P329" s="27"/>
      <c r="Q329" s="17"/>
      <c r="R329" s="7"/>
      <c r="S329" s="22">
        <f t="shared" si="52"/>
        <v>13</v>
      </c>
      <c r="T329" s="25" t="e">
        <f t="shared" si="53"/>
        <v>#DIV/0!</v>
      </c>
    </row>
    <row r="330" spans="1:20" x14ac:dyDescent="0.2">
      <c r="A330" s="7" t="s">
        <v>19</v>
      </c>
      <c r="B330" s="1">
        <v>5</v>
      </c>
      <c r="C330" s="1">
        <v>12.5</v>
      </c>
      <c r="D330" s="1">
        <v>12.5</v>
      </c>
      <c r="E330" s="7">
        <v>16.12</v>
      </c>
      <c r="F330" s="1">
        <v>10</v>
      </c>
      <c r="G330" s="1">
        <v>1</v>
      </c>
      <c r="H330" s="7">
        <v>8</v>
      </c>
      <c r="I330" s="5">
        <f t="shared" si="47"/>
        <v>250.82475746260911</v>
      </c>
      <c r="J330" s="5">
        <f t="shared" si="48"/>
        <v>280.43060406314584</v>
      </c>
      <c r="K330" s="5">
        <f t="shared" si="49"/>
        <v>25.082475746260911</v>
      </c>
      <c r="L330" s="30">
        <f t="shared" si="50"/>
        <v>0.24867959858108646</v>
      </c>
      <c r="M330" s="8">
        <f t="shared" si="51"/>
        <v>17.947558660041334</v>
      </c>
      <c r="N330" s="2">
        <v>13</v>
      </c>
      <c r="P330" s="27"/>
      <c r="Q330" s="17"/>
      <c r="R330" s="7"/>
      <c r="S330" s="22">
        <f t="shared" si="52"/>
        <v>13</v>
      </c>
      <c r="T330" s="25" t="e">
        <f t="shared" si="53"/>
        <v>#DIV/0!</v>
      </c>
    </row>
    <row r="331" spans="1:20" x14ac:dyDescent="0.2">
      <c r="A331" s="7" t="s">
        <v>19</v>
      </c>
      <c r="B331" s="1">
        <v>5</v>
      </c>
      <c r="C331" s="1">
        <v>12.5</v>
      </c>
      <c r="D331" s="1">
        <v>12.5</v>
      </c>
      <c r="E331" s="7">
        <v>16.12</v>
      </c>
      <c r="F331" s="1">
        <v>10</v>
      </c>
      <c r="G331" s="1">
        <v>3</v>
      </c>
      <c r="H331" s="7">
        <v>8</v>
      </c>
      <c r="I331" s="5">
        <f t="shared" si="47"/>
        <v>752.47427238782723</v>
      </c>
      <c r="J331" s="5">
        <f t="shared" si="48"/>
        <v>841.29181218943734</v>
      </c>
      <c r="K331" s="5">
        <f t="shared" si="49"/>
        <v>75.24742723878272</v>
      </c>
      <c r="L331" s="30">
        <f t="shared" si="50"/>
        <v>0.24867959858108646</v>
      </c>
      <c r="M331" s="8">
        <f t="shared" si="51"/>
        <v>53.842675980123985</v>
      </c>
      <c r="N331" s="2">
        <v>8</v>
      </c>
      <c r="P331" s="27"/>
      <c r="Q331" s="17"/>
      <c r="R331" s="7"/>
      <c r="S331" s="22">
        <f t="shared" si="52"/>
        <v>8</v>
      </c>
      <c r="T331" s="25" t="e">
        <f t="shared" si="53"/>
        <v>#DIV/0!</v>
      </c>
    </row>
    <row r="332" spans="1:20" x14ac:dyDescent="0.2">
      <c r="A332" s="7" t="s">
        <v>19</v>
      </c>
      <c r="B332" s="1">
        <v>5</v>
      </c>
      <c r="C332" s="1">
        <v>12.5</v>
      </c>
      <c r="D332" s="1">
        <v>12.5</v>
      </c>
      <c r="E332" s="7">
        <v>16.12</v>
      </c>
      <c r="F332" s="1">
        <v>50</v>
      </c>
      <c r="G332" s="1">
        <v>0</v>
      </c>
      <c r="H332" s="7">
        <v>0</v>
      </c>
      <c r="I332" s="5">
        <f t="shared" si="47"/>
        <v>0</v>
      </c>
      <c r="J332" s="5">
        <f t="shared" si="48"/>
        <v>0</v>
      </c>
      <c r="K332" s="5">
        <f t="shared" si="49"/>
        <v>0</v>
      </c>
      <c r="L332" s="30" t="e">
        <f t="shared" si="50"/>
        <v>#DIV/0!</v>
      </c>
      <c r="M332" s="8">
        <f t="shared" si="51"/>
        <v>0</v>
      </c>
      <c r="N332" s="2">
        <v>10</v>
      </c>
      <c r="P332" s="27"/>
      <c r="Q332" s="17"/>
      <c r="R332" s="7"/>
      <c r="S332" s="22">
        <f t="shared" si="52"/>
        <v>10</v>
      </c>
      <c r="T332" s="25" t="e">
        <f t="shared" si="53"/>
        <v>#DIV/0!</v>
      </c>
    </row>
    <row r="333" spans="1:20" x14ac:dyDescent="0.2">
      <c r="A333" s="7" t="s">
        <v>19</v>
      </c>
      <c r="B333" s="1">
        <v>5</v>
      </c>
      <c r="C333" s="1">
        <v>12.5</v>
      </c>
      <c r="D333" s="1">
        <v>12.5</v>
      </c>
      <c r="E333" s="7">
        <v>16.12</v>
      </c>
      <c r="F333" s="1">
        <v>50</v>
      </c>
      <c r="G333" s="1">
        <v>1</v>
      </c>
      <c r="H333" s="7">
        <v>1</v>
      </c>
      <c r="I333" s="5">
        <f t="shared" si="47"/>
        <v>31.353094682826139</v>
      </c>
      <c r="J333" s="5">
        <f t="shared" si="48"/>
        <v>35.053825507893229</v>
      </c>
      <c r="K333" s="5">
        <f t="shared" si="49"/>
        <v>0.62706189365652276</v>
      </c>
      <c r="L333" s="30">
        <f t="shared" si="50"/>
        <v>1.9894367886486917</v>
      </c>
      <c r="M333" s="8">
        <f t="shared" si="51"/>
        <v>5.6086120812629175E-2</v>
      </c>
      <c r="N333" s="2">
        <v>11</v>
      </c>
      <c r="P333" s="27"/>
      <c r="Q333" s="17"/>
      <c r="R333" s="7"/>
      <c r="S333" s="22">
        <f t="shared" si="52"/>
        <v>11</v>
      </c>
      <c r="T333" s="25" t="e">
        <f t="shared" si="53"/>
        <v>#DIV/0!</v>
      </c>
    </row>
    <row r="334" spans="1:20" x14ac:dyDescent="0.2">
      <c r="A334" s="7" t="s">
        <v>19</v>
      </c>
      <c r="B334" s="1">
        <v>5</v>
      </c>
      <c r="C334" s="1">
        <v>12.5</v>
      </c>
      <c r="D334" s="1">
        <v>12.5</v>
      </c>
      <c r="E334" s="7">
        <v>16.12</v>
      </c>
      <c r="F334" s="1">
        <v>50</v>
      </c>
      <c r="G334" s="1">
        <v>3</v>
      </c>
      <c r="H334" s="7">
        <v>1</v>
      </c>
      <c r="I334" s="5">
        <f t="shared" si="47"/>
        <v>94.059284048478403</v>
      </c>
      <c r="J334" s="5">
        <f t="shared" si="48"/>
        <v>105.16147652367967</v>
      </c>
      <c r="K334" s="5">
        <f t="shared" si="49"/>
        <v>1.8811856809695682</v>
      </c>
      <c r="L334" s="30">
        <f t="shared" si="50"/>
        <v>1.9894367886486917</v>
      </c>
      <c r="M334" s="8">
        <f t="shared" si="51"/>
        <v>0.16825836243788747</v>
      </c>
      <c r="N334" s="2">
        <v>8</v>
      </c>
      <c r="P334" s="27"/>
      <c r="Q334" s="17"/>
      <c r="R334" s="7"/>
      <c r="S334" s="22">
        <f t="shared" si="52"/>
        <v>8</v>
      </c>
      <c r="T334" s="25" t="e">
        <f t="shared" si="53"/>
        <v>#DIV/0!</v>
      </c>
    </row>
    <row r="335" spans="1:20" x14ac:dyDescent="0.2">
      <c r="A335" s="7" t="s">
        <v>19</v>
      </c>
      <c r="B335" s="1">
        <v>5</v>
      </c>
      <c r="C335" s="1">
        <v>12.5</v>
      </c>
      <c r="D335" s="1">
        <v>12.5</v>
      </c>
      <c r="E335" s="7">
        <v>16.12</v>
      </c>
      <c r="F335" s="1">
        <v>50</v>
      </c>
      <c r="G335" s="1">
        <v>5</v>
      </c>
      <c r="H335" s="7">
        <v>1</v>
      </c>
      <c r="I335" s="5">
        <f t="shared" si="47"/>
        <v>156.7654734141307</v>
      </c>
      <c r="J335" s="5">
        <f t="shared" si="48"/>
        <v>175.26912753946615</v>
      </c>
      <c r="K335" s="5">
        <f t="shared" si="49"/>
        <v>3.1353094682826139</v>
      </c>
      <c r="L335" s="30">
        <f t="shared" si="50"/>
        <v>1.9894367886486917</v>
      </c>
      <c r="M335" s="8">
        <f t="shared" si="51"/>
        <v>0.28043060406314585</v>
      </c>
      <c r="N335" s="2">
        <v>8</v>
      </c>
      <c r="P335" s="27"/>
      <c r="Q335" s="17"/>
      <c r="R335" s="7"/>
      <c r="S335" s="22">
        <f t="shared" si="52"/>
        <v>8</v>
      </c>
      <c r="T335" s="25" t="e">
        <f t="shared" si="53"/>
        <v>#DIV/0!</v>
      </c>
    </row>
    <row r="336" spans="1:20" x14ac:dyDescent="0.2">
      <c r="A336" s="7" t="s">
        <v>19</v>
      </c>
      <c r="B336" s="1">
        <v>5</v>
      </c>
      <c r="C336" s="1">
        <v>12.5</v>
      </c>
      <c r="D336" s="1">
        <v>12.5</v>
      </c>
      <c r="E336" s="7">
        <v>16.12</v>
      </c>
      <c r="F336" s="1">
        <v>50</v>
      </c>
      <c r="G336" s="1">
        <v>7</v>
      </c>
      <c r="H336" s="7">
        <v>1</v>
      </c>
      <c r="I336" s="5">
        <f t="shared" ref="I336:I349" si="54">(2*PI()*G336*(H336/1000)*998*(B336/1000))/0.001</f>
        <v>219.47166277978295</v>
      </c>
      <c r="J336" s="5">
        <f t="shared" ref="J336:J349" si="55">I336*SQRT(C336/(2*B336))</f>
        <v>245.37677855525257</v>
      </c>
      <c r="K336" s="5">
        <f t="shared" si="49"/>
        <v>4.3894332555956588</v>
      </c>
      <c r="L336" s="30">
        <f t="shared" si="50"/>
        <v>1.9894367886486917</v>
      </c>
      <c r="M336" s="8">
        <f t="shared" si="51"/>
        <v>0.39260284568840409</v>
      </c>
      <c r="N336" s="2">
        <v>8</v>
      </c>
      <c r="P336" s="27"/>
      <c r="Q336" s="17"/>
      <c r="R336" s="7"/>
      <c r="S336" s="22">
        <f t="shared" si="52"/>
        <v>8</v>
      </c>
      <c r="T336" s="25" t="e">
        <f t="shared" si="53"/>
        <v>#DIV/0!</v>
      </c>
    </row>
    <row r="337" spans="1:20" x14ac:dyDescent="0.2">
      <c r="A337" s="7" t="s">
        <v>19</v>
      </c>
      <c r="B337" s="1">
        <v>5</v>
      </c>
      <c r="C337" s="1">
        <v>12.5</v>
      </c>
      <c r="D337" s="1">
        <v>12.5</v>
      </c>
      <c r="E337" s="7">
        <v>16.12</v>
      </c>
      <c r="F337" s="1">
        <v>50</v>
      </c>
      <c r="G337" s="1">
        <v>1</v>
      </c>
      <c r="H337" s="7">
        <v>2</v>
      </c>
      <c r="I337" s="5">
        <f t="shared" si="54"/>
        <v>62.706189365652278</v>
      </c>
      <c r="J337" s="5">
        <f t="shared" si="55"/>
        <v>70.107651015786459</v>
      </c>
      <c r="K337" s="5">
        <f t="shared" si="49"/>
        <v>1.2541237873130455</v>
      </c>
      <c r="L337" s="30">
        <f t="shared" si="50"/>
        <v>0.99471839432434583</v>
      </c>
      <c r="M337" s="8">
        <f t="shared" si="51"/>
        <v>0.2243444832505167</v>
      </c>
      <c r="N337" s="2">
        <v>24</v>
      </c>
      <c r="O337" s="2">
        <v>24</v>
      </c>
      <c r="P337" s="27">
        <v>24</v>
      </c>
      <c r="Q337" s="17"/>
      <c r="R337" s="7"/>
      <c r="S337" s="22">
        <f t="shared" si="52"/>
        <v>24</v>
      </c>
      <c r="T337" s="25">
        <f t="shared" si="53"/>
        <v>0</v>
      </c>
    </row>
    <row r="338" spans="1:20" x14ac:dyDescent="0.2">
      <c r="A338" s="7" t="s">
        <v>19</v>
      </c>
      <c r="B338" s="1">
        <v>5</v>
      </c>
      <c r="C338" s="1">
        <v>12.5</v>
      </c>
      <c r="D338" s="1">
        <v>12.5</v>
      </c>
      <c r="E338" s="7">
        <v>16.12</v>
      </c>
      <c r="F338" s="1">
        <v>50</v>
      </c>
      <c r="G338" s="1">
        <v>2</v>
      </c>
      <c r="H338" s="7">
        <v>2</v>
      </c>
      <c r="I338" s="5">
        <f t="shared" si="54"/>
        <v>125.41237873130456</v>
      </c>
      <c r="J338" s="5">
        <f t="shared" si="55"/>
        <v>140.21530203157292</v>
      </c>
      <c r="K338" s="5">
        <f t="shared" si="49"/>
        <v>2.508247574626091</v>
      </c>
      <c r="L338" s="30">
        <f t="shared" si="50"/>
        <v>0.99471839432434583</v>
      </c>
      <c r="M338" s="8">
        <f t="shared" si="51"/>
        <v>0.4486889665010334</v>
      </c>
      <c r="Q338" s="1">
        <v>32</v>
      </c>
      <c r="R338" s="1">
        <v>50</v>
      </c>
      <c r="S338" s="22">
        <f t="shared" ref="S338:S349" si="56">AVERAGE(N338:R338)</f>
        <v>41</v>
      </c>
      <c r="T338" s="25">
        <f t="shared" ref="T338:T349" si="57">STDEV(N338:R338)</f>
        <v>12.727922061357855</v>
      </c>
    </row>
    <row r="339" spans="1:20" x14ac:dyDescent="0.2">
      <c r="A339" s="7" t="s">
        <v>19</v>
      </c>
      <c r="B339" s="1">
        <v>5</v>
      </c>
      <c r="C339" s="1">
        <v>12.5</v>
      </c>
      <c r="D339" s="1">
        <v>12.5</v>
      </c>
      <c r="E339" s="7">
        <v>16.12</v>
      </c>
      <c r="F339" s="1">
        <v>50</v>
      </c>
      <c r="G339" s="1">
        <v>3</v>
      </c>
      <c r="H339" s="7">
        <v>2</v>
      </c>
      <c r="I339" s="5">
        <f t="shared" si="54"/>
        <v>188.11856809695681</v>
      </c>
      <c r="J339" s="5">
        <f t="shared" si="55"/>
        <v>210.32295304735933</v>
      </c>
      <c r="K339" s="5">
        <f t="shared" si="49"/>
        <v>3.7623713619391363</v>
      </c>
      <c r="L339" s="30">
        <f t="shared" si="50"/>
        <v>0.99471839432434583</v>
      </c>
      <c r="M339" s="8">
        <f t="shared" si="51"/>
        <v>0.67303344975154988</v>
      </c>
      <c r="N339" s="2">
        <v>70</v>
      </c>
      <c r="O339" s="2">
        <v>55</v>
      </c>
      <c r="P339" s="27">
        <v>70</v>
      </c>
      <c r="S339" s="22">
        <f t="shared" si="56"/>
        <v>65</v>
      </c>
      <c r="T339" s="25">
        <f t="shared" si="57"/>
        <v>8.6602540378443873</v>
      </c>
    </row>
    <row r="340" spans="1:20" x14ac:dyDescent="0.2">
      <c r="A340" s="7" t="s">
        <v>19</v>
      </c>
      <c r="B340" s="1">
        <v>5</v>
      </c>
      <c r="C340" s="1">
        <v>12.5</v>
      </c>
      <c r="D340" s="1">
        <v>12.5</v>
      </c>
      <c r="E340" s="7">
        <v>16.12</v>
      </c>
      <c r="F340" s="1">
        <v>50</v>
      </c>
      <c r="G340" s="1">
        <v>4</v>
      </c>
      <c r="H340" s="7">
        <v>2</v>
      </c>
      <c r="I340" s="5">
        <f t="shared" si="54"/>
        <v>250.82475746260911</v>
      </c>
      <c r="J340" s="5">
        <f t="shared" si="55"/>
        <v>280.43060406314584</v>
      </c>
      <c r="K340" s="5">
        <f t="shared" si="49"/>
        <v>5.0164951492521821</v>
      </c>
      <c r="L340" s="30">
        <f t="shared" si="50"/>
        <v>0.99471839432434583</v>
      </c>
      <c r="M340" s="8">
        <f t="shared" si="51"/>
        <v>0.89737793300206681</v>
      </c>
      <c r="Q340" s="1">
        <v>78</v>
      </c>
      <c r="R340" s="1">
        <v>60</v>
      </c>
      <c r="S340" s="22">
        <f t="shared" si="56"/>
        <v>69</v>
      </c>
      <c r="T340" s="25">
        <f t="shared" si="57"/>
        <v>12.727922061357855</v>
      </c>
    </row>
    <row r="341" spans="1:20" x14ac:dyDescent="0.2">
      <c r="A341" s="7" t="s">
        <v>19</v>
      </c>
      <c r="B341" s="1">
        <v>5</v>
      </c>
      <c r="C341" s="1">
        <v>12.5</v>
      </c>
      <c r="D341" s="1">
        <v>12.5</v>
      </c>
      <c r="E341" s="7">
        <v>16.12</v>
      </c>
      <c r="F341" s="1">
        <v>50</v>
      </c>
      <c r="G341" s="1">
        <v>5</v>
      </c>
      <c r="H341" s="7">
        <v>2</v>
      </c>
      <c r="I341" s="5">
        <f t="shared" si="54"/>
        <v>313.53094682826139</v>
      </c>
      <c r="J341" s="5">
        <f t="shared" si="55"/>
        <v>350.53825507893231</v>
      </c>
      <c r="K341" s="5">
        <f t="shared" si="49"/>
        <v>6.2706189365652278</v>
      </c>
      <c r="L341" s="30">
        <f t="shared" si="50"/>
        <v>0.99471839432434583</v>
      </c>
      <c r="M341" s="8">
        <f t="shared" si="51"/>
        <v>1.1217224162525834</v>
      </c>
      <c r="N341" s="2">
        <v>66</v>
      </c>
      <c r="O341" s="2">
        <v>74</v>
      </c>
      <c r="P341" s="27">
        <v>60</v>
      </c>
      <c r="Q341" s="1">
        <v>66</v>
      </c>
      <c r="R341" s="1">
        <v>60</v>
      </c>
      <c r="S341" s="22">
        <f t="shared" si="56"/>
        <v>65.2</v>
      </c>
      <c r="T341" s="25">
        <f t="shared" si="57"/>
        <v>5.7619441163551732</v>
      </c>
    </row>
    <row r="342" spans="1:20" x14ac:dyDescent="0.2">
      <c r="A342" s="7" t="s">
        <v>19</v>
      </c>
      <c r="B342" s="1">
        <v>5</v>
      </c>
      <c r="C342" s="1">
        <v>12.5</v>
      </c>
      <c r="D342" s="1">
        <v>12.5</v>
      </c>
      <c r="E342" s="7">
        <v>16.12</v>
      </c>
      <c r="F342" s="1">
        <v>50</v>
      </c>
      <c r="G342" s="1">
        <v>6</v>
      </c>
      <c r="H342" s="7">
        <v>2</v>
      </c>
      <c r="I342" s="5">
        <f t="shared" si="54"/>
        <v>376.23713619391361</v>
      </c>
      <c r="J342" s="5">
        <f t="shared" si="55"/>
        <v>420.64590609471867</v>
      </c>
      <c r="K342" s="5">
        <f t="shared" si="49"/>
        <v>7.5247427238782727</v>
      </c>
      <c r="L342" s="30">
        <f t="shared" si="50"/>
        <v>0.99471839432434583</v>
      </c>
      <c r="M342" s="8">
        <f t="shared" si="51"/>
        <v>1.3460668995030998</v>
      </c>
      <c r="Q342" s="1">
        <v>67</v>
      </c>
      <c r="R342" s="1">
        <v>55</v>
      </c>
      <c r="S342" s="22">
        <f t="shared" si="56"/>
        <v>61</v>
      </c>
      <c r="T342" s="25">
        <f t="shared" si="57"/>
        <v>8.4852813742385695</v>
      </c>
    </row>
    <row r="343" spans="1:20" x14ac:dyDescent="0.2">
      <c r="A343" s="7" t="s">
        <v>19</v>
      </c>
      <c r="B343" s="1">
        <v>5</v>
      </c>
      <c r="C343" s="1">
        <v>12.5</v>
      </c>
      <c r="D343" s="1">
        <v>12.5</v>
      </c>
      <c r="E343" s="7">
        <v>16.12</v>
      </c>
      <c r="F343" s="1">
        <v>50</v>
      </c>
      <c r="G343" s="1">
        <v>7</v>
      </c>
      <c r="H343" s="7">
        <v>2</v>
      </c>
      <c r="I343" s="5">
        <f t="shared" si="54"/>
        <v>438.94332555956589</v>
      </c>
      <c r="J343" s="5">
        <f t="shared" si="55"/>
        <v>490.75355711050514</v>
      </c>
      <c r="K343" s="5">
        <f t="shared" si="49"/>
        <v>8.7788665111913176</v>
      </c>
      <c r="L343" s="30">
        <f t="shared" si="50"/>
        <v>0.99471839432434583</v>
      </c>
      <c r="M343" s="8">
        <f t="shared" si="51"/>
        <v>1.5704113827536164</v>
      </c>
      <c r="N343" s="2">
        <v>57</v>
      </c>
      <c r="O343" s="2">
        <v>49</v>
      </c>
      <c r="P343" s="27">
        <v>28</v>
      </c>
      <c r="Q343" s="17"/>
      <c r="R343" s="7"/>
      <c r="S343" s="22">
        <f t="shared" si="56"/>
        <v>44.666666666666664</v>
      </c>
      <c r="T343" s="25">
        <f t="shared" si="57"/>
        <v>14.977761292440652</v>
      </c>
    </row>
    <row r="344" spans="1:20" x14ac:dyDescent="0.2">
      <c r="A344" s="7" t="s">
        <v>19</v>
      </c>
      <c r="B344" s="1">
        <v>5</v>
      </c>
      <c r="C344" s="1">
        <v>12.5</v>
      </c>
      <c r="D344" s="1">
        <v>12.5</v>
      </c>
      <c r="E344" s="7">
        <v>16.12</v>
      </c>
      <c r="F344" s="1">
        <v>50</v>
      </c>
      <c r="G344" s="1">
        <v>1</v>
      </c>
      <c r="H344" s="7">
        <v>4</v>
      </c>
      <c r="I344" s="5">
        <f t="shared" si="54"/>
        <v>125.41237873130456</v>
      </c>
      <c r="J344" s="5">
        <f t="shared" si="55"/>
        <v>140.21530203157292</v>
      </c>
      <c r="K344" s="5">
        <f t="shared" si="49"/>
        <v>2.508247574626091</v>
      </c>
      <c r="L344" s="30">
        <f t="shared" si="50"/>
        <v>0.49735919716217292</v>
      </c>
      <c r="M344" s="8">
        <f t="shared" si="51"/>
        <v>0.89737793300206681</v>
      </c>
      <c r="N344" s="2">
        <v>43</v>
      </c>
      <c r="O344" s="2">
        <v>38</v>
      </c>
      <c r="P344" s="27">
        <v>40</v>
      </c>
      <c r="Q344" s="17"/>
      <c r="R344" s="7"/>
      <c r="S344" s="22">
        <f t="shared" si="56"/>
        <v>40.333333333333336</v>
      </c>
      <c r="T344" s="25">
        <f t="shared" si="57"/>
        <v>2.5166114784235831</v>
      </c>
    </row>
    <row r="345" spans="1:20" x14ac:dyDescent="0.2">
      <c r="A345" s="7" t="s">
        <v>19</v>
      </c>
      <c r="B345" s="1">
        <v>5</v>
      </c>
      <c r="C345" s="1">
        <v>12.5</v>
      </c>
      <c r="D345" s="1">
        <v>12.5</v>
      </c>
      <c r="E345" s="7">
        <v>16.12</v>
      </c>
      <c r="F345" s="1">
        <v>50</v>
      </c>
      <c r="G345" s="1">
        <v>2</v>
      </c>
      <c r="H345" s="7">
        <v>4</v>
      </c>
      <c r="I345" s="5">
        <f t="shared" si="54"/>
        <v>250.82475746260911</v>
      </c>
      <c r="J345" s="5">
        <f t="shared" si="55"/>
        <v>280.43060406314584</v>
      </c>
      <c r="K345" s="5">
        <f t="shared" si="49"/>
        <v>5.0164951492521821</v>
      </c>
      <c r="L345" s="30">
        <f t="shared" si="50"/>
        <v>0.49735919716217292</v>
      </c>
      <c r="M345" s="8">
        <f t="shared" si="51"/>
        <v>1.7947558660041336</v>
      </c>
      <c r="Q345" s="1">
        <v>50</v>
      </c>
      <c r="R345" s="1">
        <v>50</v>
      </c>
      <c r="S345" s="22">
        <f t="shared" si="56"/>
        <v>50</v>
      </c>
      <c r="T345" s="25">
        <f t="shared" si="57"/>
        <v>0</v>
      </c>
    </row>
    <row r="346" spans="1:20" x14ac:dyDescent="0.2">
      <c r="A346" s="7" t="s">
        <v>19</v>
      </c>
      <c r="B346" s="1">
        <v>5</v>
      </c>
      <c r="C346" s="1">
        <v>12.5</v>
      </c>
      <c r="D346" s="1">
        <v>12.5</v>
      </c>
      <c r="E346" s="7">
        <v>16.12</v>
      </c>
      <c r="F346" s="1">
        <v>50</v>
      </c>
      <c r="G346" s="1">
        <v>3</v>
      </c>
      <c r="H346" s="7">
        <v>4</v>
      </c>
      <c r="I346" s="5">
        <f t="shared" si="54"/>
        <v>376.23713619391361</v>
      </c>
      <c r="J346" s="5">
        <f t="shared" si="55"/>
        <v>420.64590609471867</v>
      </c>
      <c r="K346" s="5">
        <f t="shared" si="49"/>
        <v>7.5247427238782727</v>
      </c>
      <c r="L346" s="30">
        <f t="shared" si="50"/>
        <v>0.49735919716217292</v>
      </c>
      <c r="M346" s="8">
        <f t="shared" si="51"/>
        <v>2.6921337990061995</v>
      </c>
      <c r="N346" s="2">
        <v>47</v>
      </c>
      <c r="O346" s="2">
        <v>50</v>
      </c>
      <c r="P346" s="27">
        <v>45</v>
      </c>
      <c r="Q346" s="1">
        <v>42</v>
      </c>
      <c r="R346" s="1">
        <v>39</v>
      </c>
      <c r="S346" s="22">
        <f t="shared" si="56"/>
        <v>44.6</v>
      </c>
      <c r="T346" s="25">
        <f t="shared" si="57"/>
        <v>4.2778499272414878</v>
      </c>
    </row>
    <row r="347" spans="1:20" x14ac:dyDescent="0.2">
      <c r="A347" s="7" t="s">
        <v>19</v>
      </c>
      <c r="B347" s="1">
        <v>5</v>
      </c>
      <c r="C347" s="1">
        <v>12.5</v>
      </c>
      <c r="D347" s="1">
        <v>12.5</v>
      </c>
      <c r="E347" s="7">
        <v>16.12</v>
      </c>
      <c r="F347" s="1">
        <v>50</v>
      </c>
      <c r="G347" s="1">
        <v>4</v>
      </c>
      <c r="H347" s="7">
        <v>4</v>
      </c>
      <c r="I347" s="5">
        <f t="shared" si="54"/>
        <v>501.64951492521823</v>
      </c>
      <c r="J347" s="5">
        <f t="shared" si="55"/>
        <v>560.86120812629167</v>
      </c>
      <c r="K347" s="5">
        <f t="shared" si="49"/>
        <v>10.032990298504364</v>
      </c>
      <c r="L347" s="30">
        <f t="shared" si="50"/>
        <v>0.49735919716217292</v>
      </c>
      <c r="M347" s="8">
        <f t="shared" si="51"/>
        <v>3.5895117320082672</v>
      </c>
      <c r="Q347" s="1">
        <v>32</v>
      </c>
      <c r="R347" s="1">
        <v>25</v>
      </c>
      <c r="S347" s="22">
        <f t="shared" si="56"/>
        <v>28.5</v>
      </c>
      <c r="T347" s="25">
        <f t="shared" si="57"/>
        <v>4.9497474683058327</v>
      </c>
    </row>
    <row r="348" spans="1:20" x14ac:dyDescent="0.2">
      <c r="A348" s="7" t="s">
        <v>19</v>
      </c>
      <c r="B348" s="1">
        <v>5</v>
      </c>
      <c r="C348" s="1">
        <v>12.5</v>
      </c>
      <c r="D348" s="1">
        <v>12.5</v>
      </c>
      <c r="E348" s="7">
        <v>16.12</v>
      </c>
      <c r="F348" s="1">
        <v>50</v>
      </c>
      <c r="G348" s="1">
        <v>5</v>
      </c>
      <c r="H348" s="7">
        <v>4</v>
      </c>
      <c r="I348" s="5">
        <f t="shared" si="54"/>
        <v>627.06189365652278</v>
      </c>
      <c r="J348" s="5">
        <f t="shared" si="55"/>
        <v>701.07651015786462</v>
      </c>
      <c r="K348" s="5">
        <f t="shared" si="49"/>
        <v>12.541237873130456</v>
      </c>
      <c r="L348" s="30">
        <f t="shared" si="50"/>
        <v>0.49735919716217292</v>
      </c>
      <c r="M348" s="8">
        <f t="shared" si="51"/>
        <v>4.4868896650103336</v>
      </c>
      <c r="N348" s="2">
        <v>32</v>
      </c>
      <c r="O348" s="2">
        <v>38</v>
      </c>
      <c r="P348" s="27">
        <v>35</v>
      </c>
      <c r="Q348" s="1">
        <v>32</v>
      </c>
      <c r="R348" s="1">
        <v>25</v>
      </c>
      <c r="S348" s="22">
        <f t="shared" si="56"/>
        <v>32.4</v>
      </c>
      <c r="T348" s="25">
        <f t="shared" si="57"/>
        <v>4.8270073544588632</v>
      </c>
    </row>
    <row r="349" spans="1:20" x14ac:dyDescent="0.2">
      <c r="A349" s="7" t="s">
        <v>19</v>
      </c>
      <c r="B349" s="1">
        <v>5</v>
      </c>
      <c r="C349" s="1">
        <v>12.5</v>
      </c>
      <c r="D349" s="1">
        <v>12.5</v>
      </c>
      <c r="E349" s="7">
        <v>16.12</v>
      </c>
      <c r="F349" s="1">
        <v>50</v>
      </c>
      <c r="G349" s="1">
        <v>1</v>
      </c>
      <c r="H349" s="7">
        <v>8</v>
      </c>
      <c r="I349" s="5">
        <f t="shared" si="54"/>
        <v>250.82475746260911</v>
      </c>
      <c r="J349" s="5">
        <f t="shared" si="55"/>
        <v>280.43060406314584</v>
      </c>
      <c r="K349" s="5">
        <f t="shared" si="49"/>
        <v>5.0164951492521821</v>
      </c>
      <c r="L349" s="30">
        <f t="shared" si="50"/>
        <v>0.24867959858108646</v>
      </c>
      <c r="M349" s="8">
        <f t="shared" si="51"/>
        <v>3.5895117320082672</v>
      </c>
      <c r="N349" s="2">
        <v>33</v>
      </c>
      <c r="P349" s="27"/>
      <c r="Q349" s="17"/>
      <c r="R349" s="7"/>
      <c r="S349" s="22">
        <f t="shared" si="56"/>
        <v>33</v>
      </c>
      <c r="T349" s="25" t="e">
        <f t="shared" si="57"/>
        <v>#DIV/0!</v>
      </c>
    </row>
    <row r="350" spans="1:20" x14ac:dyDescent="0.2">
      <c r="A350" s="6" t="s">
        <v>19</v>
      </c>
      <c r="B350" s="4">
        <v>5</v>
      </c>
      <c r="C350" s="4">
        <v>12.5</v>
      </c>
      <c r="D350" s="4">
        <v>12.5</v>
      </c>
      <c r="E350" s="6">
        <v>16.12</v>
      </c>
      <c r="F350" s="4">
        <v>50</v>
      </c>
      <c r="G350" s="4">
        <v>3</v>
      </c>
      <c r="H350" s="6">
        <v>8</v>
      </c>
      <c r="I350" s="19">
        <f>(2*PI()*G350*(H350/1000)*998*(B350/1000))/0.001</f>
        <v>752.47427238782723</v>
      </c>
      <c r="J350" s="9">
        <f>I350*SQRT(C350/(2*B350))</f>
        <v>841.29181218943734</v>
      </c>
      <c r="K350" s="9">
        <f t="shared" si="49"/>
        <v>15.049485447756545</v>
      </c>
      <c r="L350" s="31">
        <f t="shared" si="50"/>
        <v>0.24867959858108646</v>
      </c>
      <c r="M350" s="10">
        <f t="shared" si="51"/>
        <v>10.768535196024798</v>
      </c>
      <c r="N350" s="20">
        <v>22</v>
      </c>
      <c r="O350" s="20"/>
      <c r="P350" s="20"/>
      <c r="Q350" s="4"/>
      <c r="R350" s="6"/>
      <c r="S350" s="23">
        <f>AVERAGE(N350:R350)</f>
        <v>22</v>
      </c>
      <c r="T350" s="11" t="e">
        <f>STDEV(N350:R350)</f>
        <v>#DIV/0!</v>
      </c>
    </row>
    <row r="351" spans="1:20" x14ac:dyDescent="0.2">
      <c r="A351" s="12" t="s">
        <v>20</v>
      </c>
      <c r="B351" s="1">
        <v>7.5</v>
      </c>
      <c r="C351" s="1">
        <v>12.5</v>
      </c>
      <c r="D351" s="1">
        <v>10</v>
      </c>
      <c r="E351" s="12">
        <v>16.8</v>
      </c>
      <c r="F351" s="1">
        <v>4.5</v>
      </c>
      <c r="G351" s="1">
        <v>0</v>
      </c>
      <c r="H351" s="12">
        <v>0</v>
      </c>
      <c r="I351" s="5">
        <f>(2*PI()*G351*(H351/1000)*998*(B351/1000))/0.001</f>
        <v>0</v>
      </c>
      <c r="J351" s="5">
        <f>I351*SQRT(C351/(2*B351))</f>
        <v>0</v>
      </c>
      <c r="K351" s="5">
        <f t="shared" si="49"/>
        <v>0</v>
      </c>
      <c r="L351" s="30" t="e">
        <f t="shared" si="50"/>
        <v>#DIV/0!</v>
      </c>
      <c r="M351" s="8">
        <f t="shared" si="51"/>
        <v>0</v>
      </c>
      <c r="N351" s="2">
        <v>16</v>
      </c>
      <c r="O351" s="2">
        <v>10</v>
      </c>
      <c r="P351" s="2">
        <v>11</v>
      </c>
      <c r="S351" s="22">
        <f>AVERAGE(N351:R351)</f>
        <v>12.333333333333334</v>
      </c>
      <c r="T351" s="25">
        <f>STDEV(N351:R351)</f>
        <v>3.2145502536643198</v>
      </c>
    </row>
    <row r="352" spans="1:20" x14ac:dyDescent="0.2">
      <c r="A352" s="7" t="s">
        <v>20</v>
      </c>
      <c r="B352" s="1">
        <v>7.5</v>
      </c>
      <c r="C352" s="1">
        <v>12.5</v>
      </c>
      <c r="D352" s="1">
        <v>10</v>
      </c>
      <c r="E352" s="7">
        <v>16.8</v>
      </c>
      <c r="F352" s="1">
        <v>4.5</v>
      </c>
      <c r="G352" s="1">
        <v>1</v>
      </c>
      <c r="H352" s="7">
        <v>1</v>
      </c>
      <c r="I352" s="5">
        <f t="shared" ref="I352:I376" si="58">(2*PI()*G352*(H352/1000)*998*(B352/1000))/0.001</f>
        <v>47.029642024239202</v>
      </c>
      <c r="J352" s="5">
        <f t="shared" ref="J352:J376" si="59">I352*SQRT(C352/(2*B352))</f>
        <v>42.931993013447894</v>
      </c>
      <c r="K352" s="5">
        <f t="shared" si="49"/>
        <v>10.451031560942045</v>
      </c>
      <c r="L352" s="30">
        <f t="shared" si="50"/>
        <v>1.9894367886486917</v>
      </c>
      <c r="M352" s="8">
        <f t="shared" si="51"/>
        <v>0.76323543135018479</v>
      </c>
      <c r="N352" s="2">
        <v>11</v>
      </c>
      <c r="O352" s="2">
        <v>10</v>
      </c>
      <c r="S352" s="22">
        <f t="shared" ref="S352:S403" si="60">AVERAGE(N352:R352)</f>
        <v>10.5</v>
      </c>
      <c r="T352" s="25">
        <f t="shared" ref="T352:T403" si="61">STDEV(N352:R352)</f>
        <v>0.70710678118654757</v>
      </c>
    </row>
    <row r="353" spans="1:20" x14ac:dyDescent="0.2">
      <c r="A353" s="7" t="s">
        <v>20</v>
      </c>
      <c r="B353" s="1">
        <v>7.5</v>
      </c>
      <c r="C353" s="1">
        <v>12.5</v>
      </c>
      <c r="D353" s="1">
        <v>10</v>
      </c>
      <c r="E353" s="7">
        <v>16.8</v>
      </c>
      <c r="F353" s="1">
        <v>4.5</v>
      </c>
      <c r="G353" s="1">
        <v>2</v>
      </c>
      <c r="H353" s="7">
        <v>1</v>
      </c>
      <c r="I353" s="5">
        <f t="shared" si="58"/>
        <v>94.059284048478403</v>
      </c>
      <c r="J353" s="5">
        <f t="shared" si="59"/>
        <v>85.863986026895788</v>
      </c>
      <c r="K353" s="5">
        <f t="shared" si="49"/>
        <v>20.90206312188409</v>
      </c>
      <c r="L353" s="30">
        <f t="shared" si="50"/>
        <v>1.9894367886486917</v>
      </c>
      <c r="M353" s="8">
        <f t="shared" si="51"/>
        <v>1.5264708627003696</v>
      </c>
      <c r="N353" s="2">
        <v>11</v>
      </c>
      <c r="O353" s="2">
        <v>10</v>
      </c>
      <c r="S353" s="22">
        <f t="shared" si="60"/>
        <v>10.5</v>
      </c>
      <c r="T353" s="25">
        <f t="shared" si="61"/>
        <v>0.70710678118654757</v>
      </c>
    </row>
    <row r="354" spans="1:20" x14ac:dyDescent="0.2">
      <c r="A354" s="7" t="s">
        <v>20</v>
      </c>
      <c r="B354" s="1">
        <v>7.5</v>
      </c>
      <c r="C354" s="1">
        <v>12.5</v>
      </c>
      <c r="D354" s="1">
        <v>10</v>
      </c>
      <c r="E354" s="7">
        <v>16.8</v>
      </c>
      <c r="F354" s="1">
        <v>4.5</v>
      </c>
      <c r="G354" s="1">
        <v>3</v>
      </c>
      <c r="H354" s="7">
        <v>1</v>
      </c>
      <c r="I354" s="5">
        <f t="shared" si="58"/>
        <v>141.08892607271758</v>
      </c>
      <c r="J354" s="5">
        <f t="shared" si="59"/>
        <v>128.79597904034364</v>
      </c>
      <c r="K354" s="5">
        <f t="shared" si="49"/>
        <v>31.353094682826129</v>
      </c>
      <c r="L354" s="30">
        <f t="shared" si="50"/>
        <v>1.9894367886486917</v>
      </c>
      <c r="M354" s="8">
        <f t="shared" si="51"/>
        <v>2.2897062940505535</v>
      </c>
      <c r="N354" s="2">
        <v>11</v>
      </c>
      <c r="O354" s="2">
        <v>10</v>
      </c>
      <c r="S354" s="22">
        <f t="shared" si="60"/>
        <v>10.5</v>
      </c>
      <c r="T354" s="25">
        <f t="shared" si="61"/>
        <v>0.70710678118654757</v>
      </c>
    </row>
    <row r="355" spans="1:20" x14ac:dyDescent="0.2">
      <c r="A355" s="7" t="s">
        <v>20</v>
      </c>
      <c r="B355" s="1">
        <v>7.5</v>
      </c>
      <c r="C355" s="1">
        <v>12.5</v>
      </c>
      <c r="D355" s="1">
        <v>10</v>
      </c>
      <c r="E355" s="7">
        <v>16.8</v>
      </c>
      <c r="F355" s="1">
        <v>4.5</v>
      </c>
      <c r="G355" s="1">
        <v>4</v>
      </c>
      <c r="H355" s="7">
        <v>1</v>
      </c>
      <c r="I355" s="5">
        <f t="shared" si="58"/>
        <v>188.11856809695681</v>
      </c>
      <c r="J355" s="5">
        <f t="shared" si="59"/>
        <v>171.72797205379158</v>
      </c>
      <c r="K355" s="5">
        <f t="shared" si="49"/>
        <v>41.804126243768181</v>
      </c>
      <c r="L355" s="30">
        <f t="shared" si="50"/>
        <v>1.9894367886486917</v>
      </c>
      <c r="M355" s="8">
        <f t="shared" si="51"/>
        <v>3.0529417254007392</v>
      </c>
      <c r="N355" s="2">
        <v>11</v>
      </c>
      <c r="O355" s="2">
        <v>9</v>
      </c>
      <c r="S355" s="22">
        <f t="shared" si="60"/>
        <v>10</v>
      </c>
      <c r="T355" s="25">
        <f t="shared" si="61"/>
        <v>1.4142135623730951</v>
      </c>
    </row>
    <row r="356" spans="1:20" x14ac:dyDescent="0.2">
      <c r="A356" s="7" t="s">
        <v>20</v>
      </c>
      <c r="B356" s="1">
        <v>7.5</v>
      </c>
      <c r="C356" s="1">
        <v>12.5</v>
      </c>
      <c r="D356" s="1">
        <v>10</v>
      </c>
      <c r="E356" s="7">
        <v>16.8</v>
      </c>
      <c r="F356" s="1">
        <v>4.5</v>
      </c>
      <c r="G356" s="1">
        <v>5</v>
      </c>
      <c r="H356" s="7">
        <v>1</v>
      </c>
      <c r="I356" s="5">
        <f t="shared" si="58"/>
        <v>235.14821012119603</v>
      </c>
      <c r="J356" s="5">
        <f t="shared" si="59"/>
        <v>214.65996506723948</v>
      </c>
      <c r="K356" s="5">
        <f t="shared" si="49"/>
        <v>52.25515780471023</v>
      </c>
      <c r="L356" s="30">
        <f t="shared" si="50"/>
        <v>1.9894367886486917</v>
      </c>
      <c r="M356" s="8">
        <f t="shared" si="51"/>
        <v>3.8161771567509239</v>
      </c>
      <c r="N356" s="2">
        <v>10</v>
      </c>
      <c r="O356" s="2">
        <v>9</v>
      </c>
      <c r="S356" s="22">
        <f t="shared" si="60"/>
        <v>9.5</v>
      </c>
      <c r="T356" s="25">
        <f t="shared" si="61"/>
        <v>0.70710678118654757</v>
      </c>
    </row>
    <row r="357" spans="1:20" x14ac:dyDescent="0.2">
      <c r="A357" s="7" t="s">
        <v>20</v>
      </c>
      <c r="B357" s="1">
        <v>7.5</v>
      </c>
      <c r="C357" s="1">
        <v>12.5</v>
      </c>
      <c r="D357" s="1">
        <v>10</v>
      </c>
      <c r="E357" s="7">
        <v>16.8</v>
      </c>
      <c r="F357" s="1">
        <v>4.5</v>
      </c>
      <c r="G357" s="1">
        <v>1</v>
      </c>
      <c r="H357" s="7">
        <v>2</v>
      </c>
      <c r="I357" s="5">
        <f t="shared" si="58"/>
        <v>94.059284048478403</v>
      </c>
      <c r="J357" s="5">
        <f t="shared" si="59"/>
        <v>85.863986026895788</v>
      </c>
      <c r="K357" s="5">
        <f t="shared" si="49"/>
        <v>20.90206312188409</v>
      </c>
      <c r="L357" s="30">
        <f t="shared" si="50"/>
        <v>0.99471839432434583</v>
      </c>
      <c r="M357" s="8">
        <f t="shared" si="51"/>
        <v>3.0529417254007392</v>
      </c>
      <c r="N357" s="2">
        <v>12</v>
      </c>
      <c r="O357" s="2">
        <v>25</v>
      </c>
      <c r="P357" s="2">
        <v>12</v>
      </c>
      <c r="S357" s="22">
        <f t="shared" si="60"/>
        <v>16.333333333333332</v>
      </c>
      <c r="T357" s="25">
        <f t="shared" si="61"/>
        <v>7.5055534994651341</v>
      </c>
    </row>
    <row r="358" spans="1:20" x14ac:dyDescent="0.2">
      <c r="A358" s="7" t="s">
        <v>20</v>
      </c>
      <c r="B358" s="1">
        <v>7.5</v>
      </c>
      <c r="C358" s="1">
        <v>12.5</v>
      </c>
      <c r="D358" s="1">
        <v>10</v>
      </c>
      <c r="E358" s="7">
        <v>16.8</v>
      </c>
      <c r="F358" s="1">
        <v>4.5</v>
      </c>
      <c r="G358" s="1">
        <v>2</v>
      </c>
      <c r="H358" s="7">
        <v>2</v>
      </c>
      <c r="I358" s="5">
        <f t="shared" si="58"/>
        <v>188.11856809695681</v>
      </c>
      <c r="J358" s="5">
        <f t="shared" si="59"/>
        <v>171.72797205379158</v>
      </c>
      <c r="K358" s="5">
        <f t="shared" si="49"/>
        <v>41.804126243768181</v>
      </c>
      <c r="L358" s="30">
        <f t="shared" si="50"/>
        <v>0.99471839432434583</v>
      </c>
      <c r="M358" s="8">
        <f t="shared" si="51"/>
        <v>6.1058834508014783</v>
      </c>
      <c r="N358" s="2">
        <v>16</v>
      </c>
      <c r="O358" s="2">
        <v>21</v>
      </c>
      <c r="P358" s="2">
        <v>14</v>
      </c>
      <c r="S358" s="22">
        <f t="shared" si="60"/>
        <v>17</v>
      </c>
      <c r="T358" s="25">
        <f t="shared" si="61"/>
        <v>3.6055512754639891</v>
      </c>
    </row>
    <row r="359" spans="1:20" x14ac:dyDescent="0.2">
      <c r="A359" s="7" t="s">
        <v>20</v>
      </c>
      <c r="B359" s="1">
        <v>7.5</v>
      </c>
      <c r="C359" s="1">
        <v>12.5</v>
      </c>
      <c r="D359" s="1">
        <v>10</v>
      </c>
      <c r="E359" s="7">
        <v>16.8</v>
      </c>
      <c r="F359" s="1">
        <v>4.5</v>
      </c>
      <c r="G359" s="1">
        <v>3</v>
      </c>
      <c r="H359" s="7">
        <v>2</v>
      </c>
      <c r="I359" s="5">
        <f t="shared" si="58"/>
        <v>282.17785214543517</v>
      </c>
      <c r="J359" s="5">
        <f t="shared" si="59"/>
        <v>257.59195808068728</v>
      </c>
      <c r="K359" s="5">
        <f t="shared" si="49"/>
        <v>62.706189365652257</v>
      </c>
      <c r="L359" s="30">
        <f t="shared" si="50"/>
        <v>0.99471839432434583</v>
      </c>
      <c r="M359" s="8">
        <f t="shared" si="51"/>
        <v>9.1588251762022139</v>
      </c>
      <c r="N359" s="2">
        <v>24</v>
      </c>
      <c r="O359" s="2">
        <v>26</v>
      </c>
      <c r="P359" s="2">
        <v>16</v>
      </c>
      <c r="S359" s="22">
        <f t="shared" si="60"/>
        <v>22</v>
      </c>
      <c r="T359" s="25">
        <f t="shared" si="61"/>
        <v>5.2915026221291814</v>
      </c>
    </row>
    <row r="360" spans="1:20" x14ac:dyDescent="0.2">
      <c r="A360" s="7" t="s">
        <v>20</v>
      </c>
      <c r="B360" s="1">
        <v>7.5</v>
      </c>
      <c r="C360" s="1">
        <v>12.5</v>
      </c>
      <c r="D360" s="1">
        <v>10</v>
      </c>
      <c r="E360" s="7">
        <v>16.8</v>
      </c>
      <c r="F360" s="1">
        <v>4.5</v>
      </c>
      <c r="G360" s="1">
        <v>4</v>
      </c>
      <c r="H360" s="7">
        <v>2</v>
      </c>
      <c r="I360" s="5">
        <f t="shared" si="58"/>
        <v>376.23713619391361</v>
      </c>
      <c r="J360" s="5">
        <f t="shared" si="59"/>
        <v>343.45594410758315</v>
      </c>
      <c r="K360" s="5">
        <f t="shared" si="49"/>
        <v>83.608252487536362</v>
      </c>
      <c r="L360" s="30">
        <f t="shared" si="50"/>
        <v>0.99471839432434583</v>
      </c>
      <c r="M360" s="8">
        <f t="shared" si="51"/>
        <v>12.211766901602957</v>
      </c>
      <c r="N360" s="2">
        <v>29</v>
      </c>
      <c r="O360" s="2">
        <v>32</v>
      </c>
      <c r="P360" s="2">
        <v>18</v>
      </c>
      <c r="S360" s="22">
        <f t="shared" si="60"/>
        <v>26.333333333333332</v>
      </c>
      <c r="T360" s="25">
        <f t="shared" si="61"/>
        <v>7.3711147958319883</v>
      </c>
    </row>
    <row r="361" spans="1:20" x14ac:dyDescent="0.2">
      <c r="A361" s="7" t="s">
        <v>20</v>
      </c>
      <c r="B361" s="1">
        <v>7.5</v>
      </c>
      <c r="C361" s="1">
        <v>12.5</v>
      </c>
      <c r="D361" s="1">
        <v>10</v>
      </c>
      <c r="E361" s="7">
        <v>16.8</v>
      </c>
      <c r="F361" s="1">
        <v>4.5</v>
      </c>
      <c r="G361" s="1">
        <v>5</v>
      </c>
      <c r="H361" s="7">
        <v>2</v>
      </c>
      <c r="I361" s="5">
        <f t="shared" si="58"/>
        <v>470.29642024239206</v>
      </c>
      <c r="J361" s="5">
        <f t="shared" si="59"/>
        <v>429.31993013447897</v>
      </c>
      <c r="K361" s="5">
        <f t="shared" si="49"/>
        <v>104.51031560942046</v>
      </c>
      <c r="L361" s="30">
        <f t="shared" si="50"/>
        <v>0.99471839432434583</v>
      </c>
      <c r="M361" s="8">
        <f t="shared" si="51"/>
        <v>15.264708627003696</v>
      </c>
      <c r="N361" s="2">
        <v>34</v>
      </c>
      <c r="O361" s="2">
        <v>37</v>
      </c>
      <c r="P361" s="2">
        <v>11</v>
      </c>
      <c r="S361" s="22">
        <f t="shared" si="60"/>
        <v>27.333333333333332</v>
      </c>
      <c r="T361" s="25">
        <f t="shared" si="61"/>
        <v>14.22439219556791</v>
      </c>
    </row>
    <row r="362" spans="1:20" x14ac:dyDescent="0.2">
      <c r="A362" s="7" t="s">
        <v>20</v>
      </c>
      <c r="B362" s="1">
        <v>7.5</v>
      </c>
      <c r="C362" s="1">
        <v>12.5</v>
      </c>
      <c r="D362" s="1">
        <v>10</v>
      </c>
      <c r="E362" s="7">
        <v>16.8</v>
      </c>
      <c r="F362" s="1">
        <v>4.5</v>
      </c>
      <c r="G362" s="1">
        <v>6</v>
      </c>
      <c r="H362" s="7">
        <v>2</v>
      </c>
      <c r="I362" s="5">
        <f t="shared" si="58"/>
        <v>564.35570429087034</v>
      </c>
      <c r="J362" s="5">
        <f t="shared" si="59"/>
        <v>515.18391616137455</v>
      </c>
      <c r="K362" s="5">
        <f t="shared" si="49"/>
        <v>125.41237873130451</v>
      </c>
      <c r="L362" s="30">
        <f t="shared" si="50"/>
        <v>0.99471839432434583</v>
      </c>
      <c r="M362" s="8">
        <f t="shared" si="51"/>
        <v>18.317650352404428</v>
      </c>
      <c r="N362" s="2">
        <v>15</v>
      </c>
      <c r="O362" s="2">
        <v>33</v>
      </c>
      <c r="P362" s="2">
        <v>11</v>
      </c>
      <c r="S362" s="22">
        <f t="shared" si="60"/>
        <v>19.666666666666668</v>
      </c>
      <c r="T362" s="25">
        <f t="shared" si="61"/>
        <v>11.718930554164633</v>
      </c>
    </row>
    <row r="363" spans="1:20" x14ac:dyDescent="0.2">
      <c r="A363" s="7" t="s">
        <v>20</v>
      </c>
      <c r="B363" s="1">
        <v>7.5</v>
      </c>
      <c r="C363" s="1">
        <v>12.5</v>
      </c>
      <c r="D363" s="1">
        <v>10</v>
      </c>
      <c r="E363" s="7">
        <v>16.8</v>
      </c>
      <c r="F363" s="1">
        <v>4.5</v>
      </c>
      <c r="G363" s="1">
        <v>1</v>
      </c>
      <c r="H363" s="7">
        <v>3</v>
      </c>
      <c r="I363" s="5">
        <f t="shared" si="58"/>
        <v>141.08892607271758</v>
      </c>
      <c r="J363" s="5">
        <f t="shared" si="59"/>
        <v>128.79597904034364</v>
      </c>
      <c r="K363" s="5">
        <f t="shared" si="49"/>
        <v>31.353094682826129</v>
      </c>
      <c r="L363" s="30">
        <f t="shared" si="50"/>
        <v>0.66314559621623059</v>
      </c>
      <c r="M363" s="8">
        <f t="shared" si="51"/>
        <v>6.8691188821516604</v>
      </c>
      <c r="N363" s="2">
        <v>30</v>
      </c>
      <c r="O363" s="2">
        <v>30</v>
      </c>
      <c r="S363" s="22">
        <f t="shared" si="60"/>
        <v>30</v>
      </c>
      <c r="T363" s="25">
        <f t="shared" si="61"/>
        <v>0</v>
      </c>
    </row>
    <row r="364" spans="1:20" x14ac:dyDescent="0.2">
      <c r="A364" s="7" t="s">
        <v>20</v>
      </c>
      <c r="B364" s="1">
        <v>7.5</v>
      </c>
      <c r="C364" s="1">
        <v>12.5</v>
      </c>
      <c r="D364" s="1">
        <v>10</v>
      </c>
      <c r="E364" s="7">
        <v>16.8</v>
      </c>
      <c r="F364" s="1">
        <v>4.5</v>
      </c>
      <c r="G364" s="1">
        <v>2</v>
      </c>
      <c r="H364" s="7">
        <v>3</v>
      </c>
      <c r="I364" s="5">
        <f t="shared" si="58"/>
        <v>282.17785214543517</v>
      </c>
      <c r="J364" s="5">
        <f t="shared" si="59"/>
        <v>257.59195808068728</v>
      </c>
      <c r="K364" s="5">
        <f t="shared" si="49"/>
        <v>62.706189365652257</v>
      </c>
      <c r="L364" s="30">
        <f t="shared" si="50"/>
        <v>0.66314559621623059</v>
      </c>
      <c r="M364" s="8">
        <f t="shared" si="51"/>
        <v>13.738237764303321</v>
      </c>
      <c r="N364" s="2">
        <v>39</v>
      </c>
      <c r="O364" s="2">
        <v>35</v>
      </c>
      <c r="S364" s="22">
        <f t="shared" si="60"/>
        <v>37</v>
      </c>
      <c r="T364" s="25">
        <f t="shared" si="61"/>
        <v>2.8284271247461903</v>
      </c>
    </row>
    <row r="365" spans="1:20" x14ac:dyDescent="0.2">
      <c r="A365" s="7" t="s">
        <v>20</v>
      </c>
      <c r="B365" s="1">
        <v>7.5</v>
      </c>
      <c r="C365" s="1">
        <v>12.5</v>
      </c>
      <c r="D365" s="1">
        <v>10</v>
      </c>
      <c r="E365" s="7">
        <v>16.8</v>
      </c>
      <c r="F365" s="1">
        <v>4.5</v>
      </c>
      <c r="G365" s="1">
        <v>3</v>
      </c>
      <c r="H365" s="7">
        <v>3</v>
      </c>
      <c r="I365" s="5">
        <f t="shared" si="58"/>
        <v>423.26677821815275</v>
      </c>
      <c r="J365" s="5">
        <f t="shared" si="59"/>
        <v>386.38793712103097</v>
      </c>
      <c r="K365" s="5">
        <f t="shared" si="49"/>
        <v>94.059284048478389</v>
      </c>
      <c r="L365" s="30">
        <f t="shared" si="50"/>
        <v>0.66314559621623059</v>
      </c>
      <c r="M365" s="8">
        <f t="shared" si="51"/>
        <v>20.607356646454985</v>
      </c>
      <c r="N365" s="2">
        <v>41</v>
      </c>
      <c r="O365" s="2">
        <v>42</v>
      </c>
      <c r="S365" s="22">
        <f t="shared" si="60"/>
        <v>41.5</v>
      </c>
      <c r="T365" s="25">
        <f t="shared" si="61"/>
        <v>0.70710678118654757</v>
      </c>
    </row>
    <row r="366" spans="1:20" x14ac:dyDescent="0.2">
      <c r="A366" s="7" t="s">
        <v>20</v>
      </c>
      <c r="B366" s="1">
        <v>7.5</v>
      </c>
      <c r="C366" s="1">
        <v>12.5</v>
      </c>
      <c r="D366" s="1">
        <v>10</v>
      </c>
      <c r="E366" s="7">
        <v>16.8</v>
      </c>
      <c r="F366" s="1">
        <v>4.5</v>
      </c>
      <c r="G366" s="1">
        <v>4</v>
      </c>
      <c r="H366" s="7">
        <v>3</v>
      </c>
      <c r="I366" s="5">
        <f t="shared" si="58"/>
        <v>564.35570429087034</v>
      </c>
      <c r="J366" s="5">
        <f t="shared" si="59"/>
        <v>515.18391616137455</v>
      </c>
      <c r="K366" s="5">
        <f t="shared" si="49"/>
        <v>125.41237873130451</v>
      </c>
      <c r="L366" s="30">
        <f t="shared" si="50"/>
        <v>0.66314559621623059</v>
      </c>
      <c r="M366" s="8">
        <f t="shared" si="51"/>
        <v>27.476475528606642</v>
      </c>
      <c r="N366" s="2">
        <v>21</v>
      </c>
      <c r="O366" s="2">
        <v>29</v>
      </c>
      <c r="P366" s="2">
        <v>30</v>
      </c>
      <c r="S366" s="22">
        <f t="shared" si="60"/>
        <v>26.666666666666668</v>
      </c>
      <c r="T366" s="25">
        <f t="shared" si="61"/>
        <v>4.93288286231624</v>
      </c>
    </row>
    <row r="367" spans="1:20" x14ac:dyDescent="0.2">
      <c r="A367" s="7" t="s">
        <v>20</v>
      </c>
      <c r="B367" s="1">
        <v>7.5</v>
      </c>
      <c r="C367" s="1">
        <v>12.5</v>
      </c>
      <c r="D367" s="1">
        <v>10</v>
      </c>
      <c r="E367" s="7">
        <v>16.8</v>
      </c>
      <c r="F367" s="1">
        <v>4.5</v>
      </c>
      <c r="G367" s="1">
        <v>5</v>
      </c>
      <c r="H367" s="7">
        <v>3</v>
      </c>
      <c r="I367" s="5">
        <f t="shared" si="58"/>
        <v>705.44463036358809</v>
      </c>
      <c r="J367" s="5">
        <f t="shared" si="59"/>
        <v>643.97989520171836</v>
      </c>
      <c r="K367" s="5">
        <f t="shared" si="49"/>
        <v>156.7654734141307</v>
      </c>
      <c r="L367" s="30">
        <f t="shared" si="50"/>
        <v>0.66314559621623059</v>
      </c>
      <c r="M367" s="8">
        <f t="shared" si="51"/>
        <v>34.345594410758309</v>
      </c>
      <c r="N367" s="2">
        <v>21</v>
      </c>
      <c r="O367" s="2">
        <v>30</v>
      </c>
      <c r="P367" s="2">
        <v>30</v>
      </c>
      <c r="S367" s="22">
        <f t="shared" si="60"/>
        <v>27</v>
      </c>
      <c r="T367" s="25">
        <f t="shared" si="61"/>
        <v>5.196152422706632</v>
      </c>
    </row>
    <row r="368" spans="1:20" x14ac:dyDescent="0.2">
      <c r="A368" s="7" t="s">
        <v>20</v>
      </c>
      <c r="B368" s="1">
        <v>7.5</v>
      </c>
      <c r="C368" s="1">
        <v>12.5</v>
      </c>
      <c r="D368" s="1">
        <v>10</v>
      </c>
      <c r="E368" s="7">
        <v>16.8</v>
      </c>
      <c r="F368" s="1">
        <v>4.5</v>
      </c>
      <c r="G368" s="1">
        <v>1</v>
      </c>
      <c r="H368" s="7">
        <v>4</v>
      </c>
      <c r="I368" s="5">
        <f t="shared" si="58"/>
        <v>188.11856809695681</v>
      </c>
      <c r="J368" s="5">
        <f t="shared" si="59"/>
        <v>171.72797205379158</v>
      </c>
      <c r="K368" s="5">
        <f t="shared" si="49"/>
        <v>41.804126243768181</v>
      </c>
      <c r="L368" s="30">
        <f t="shared" si="50"/>
        <v>0.49735919716217292</v>
      </c>
      <c r="M368" s="8">
        <f t="shared" si="51"/>
        <v>12.211766901602957</v>
      </c>
      <c r="N368" s="2">
        <v>30</v>
      </c>
      <c r="O368" s="2">
        <v>40</v>
      </c>
      <c r="P368" s="2">
        <v>40</v>
      </c>
      <c r="S368" s="22">
        <f t="shared" si="60"/>
        <v>36.666666666666664</v>
      </c>
      <c r="T368" s="25">
        <f t="shared" si="61"/>
        <v>5.7735026918962511</v>
      </c>
    </row>
    <row r="369" spans="1:20" x14ac:dyDescent="0.2">
      <c r="A369" s="7" t="s">
        <v>20</v>
      </c>
      <c r="B369" s="1">
        <v>7.5</v>
      </c>
      <c r="C369" s="1">
        <v>12.5</v>
      </c>
      <c r="D369" s="1">
        <v>10</v>
      </c>
      <c r="E369" s="7">
        <v>16.8</v>
      </c>
      <c r="F369" s="1">
        <v>4.5</v>
      </c>
      <c r="G369" s="1">
        <v>2</v>
      </c>
      <c r="H369" s="7">
        <v>4</v>
      </c>
      <c r="I369" s="5">
        <f t="shared" si="58"/>
        <v>376.23713619391361</v>
      </c>
      <c r="J369" s="5">
        <f t="shared" si="59"/>
        <v>343.45594410758315</v>
      </c>
      <c r="K369" s="5">
        <f t="shared" si="49"/>
        <v>83.608252487536362</v>
      </c>
      <c r="L369" s="30">
        <f t="shared" si="50"/>
        <v>0.49735919716217292</v>
      </c>
      <c r="M369" s="8">
        <f t="shared" si="51"/>
        <v>24.423533803205913</v>
      </c>
      <c r="N369" s="2">
        <v>46</v>
      </c>
      <c r="O369" s="2">
        <v>45</v>
      </c>
      <c r="P369" s="2">
        <v>38</v>
      </c>
      <c r="S369" s="22">
        <f t="shared" si="60"/>
        <v>43</v>
      </c>
      <c r="T369" s="25">
        <f t="shared" si="61"/>
        <v>4.358898943540674</v>
      </c>
    </row>
    <row r="370" spans="1:20" x14ac:dyDescent="0.2">
      <c r="A370" s="7" t="s">
        <v>20</v>
      </c>
      <c r="B370" s="1">
        <v>7.5</v>
      </c>
      <c r="C370" s="1">
        <v>12.5</v>
      </c>
      <c r="D370" s="1">
        <v>10</v>
      </c>
      <c r="E370" s="7">
        <v>16.8</v>
      </c>
      <c r="F370" s="1">
        <v>4.5</v>
      </c>
      <c r="G370" s="1">
        <v>3</v>
      </c>
      <c r="H370" s="7">
        <v>4</v>
      </c>
      <c r="I370" s="5">
        <f t="shared" si="58"/>
        <v>564.35570429087034</v>
      </c>
      <c r="J370" s="5">
        <f t="shared" si="59"/>
        <v>515.18391616137455</v>
      </c>
      <c r="K370" s="5">
        <f t="shared" si="49"/>
        <v>125.41237873130451</v>
      </c>
      <c r="L370" s="30">
        <f t="shared" si="50"/>
        <v>0.49735919716217292</v>
      </c>
      <c r="M370" s="8">
        <f t="shared" si="51"/>
        <v>36.635300704808856</v>
      </c>
      <c r="N370" s="2">
        <v>40</v>
      </c>
      <c r="O370" s="2">
        <v>45</v>
      </c>
      <c r="P370" s="2">
        <v>35</v>
      </c>
      <c r="S370" s="22">
        <f t="shared" si="60"/>
        <v>40</v>
      </c>
      <c r="T370" s="25">
        <f t="shared" si="61"/>
        <v>5</v>
      </c>
    </row>
    <row r="371" spans="1:20" x14ac:dyDescent="0.2">
      <c r="A371" s="7" t="s">
        <v>20</v>
      </c>
      <c r="B371" s="1">
        <v>7.5</v>
      </c>
      <c r="C371" s="1">
        <v>12.5</v>
      </c>
      <c r="D371" s="1">
        <v>10</v>
      </c>
      <c r="E371" s="7">
        <v>16.8</v>
      </c>
      <c r="F371" s="1">
        <v>4.5</v>
      </c>
      <c r="G371" s="1">
        <v>4</v>
      </c>
      <c r="H371" s="7">
        <v>4</v>
      </c>
      <c r="I371" s="5">
        <f t="shared" si="58"/>
        <v>752.47427238782723</v>
      </c>
      <c r="J371" s="5">
        <f t="shared" si="59"/>
        <v>686.9118882151663</v>
      </c>
      <c r="K371" s="5">
        <f t="shared" si="49"/>
        <v>167.21650497507272</v>
      </c>
      <c r="L371" s="30">
        <f t="shared" si="50"/>
        <v>0.49735919716217292</v>
      </c>
      <c r="M371" s="8">
        <f t="shared" si="51"/>
        <v>48.847067606411827</v>
      </c>
      <c r="N371" s="2">
        <v>18</v>
      </c>
      <c r="O371" s="2">
        <v>25</v>
      </c>
      <c r="P371" s="2">
        <v>26</v>
      </c>
      <c r="S371" s="22">
        <f t="shared" si="60"/>
        <v>23</v>
      </c>
      <c r="T371" s="25">
        <f t="shared" si="61"/>
        <v>4.358898943540674</v>
      </c>
    </row>
    <row r="372" spans="1:20" x14ac:dyDescent="0.2">
      <c r="A372" s="7" t="s">
        <v>20</v>
      </c>
      <c r="B372" s="1">
        <v>7.5</v>
      </c>
      <c r="C372" s="1">
        <v>12.5</v>
      </c>
      <c r="D372" s="1">
        <v>10</v>
      </c>
      <c r="E372" s="7">
        <v>16.8</v>
      </c>
      <c r="F372" s="1">
        <v>4.5</v>
      </c>
      <c r="G372" s="1">
        <v>5</v>
      </c>
      <c r="H372" s="7">
        <v>4</v>
      </c>
      <c r="I372" s="5">
        <f t="shared" si="58"/>
        <v>940.59284048478412</v>
      </c>
      <c r="J372" s="5">
        <f t="shared" si="59"/>
        <v>858.63986026895793</v>
      </c>
      <c r="K372" s="5">
        <f t="shared" si="49"/>
        <v>209.02063121884092</v>
      </c>
      <c r="L372" s="30">
        <f t="shared" si="50"/>
        <v>0.49735919716217292</v>
      </c>
      <c r="M372" s="8">
        <f t="shared" si="51"/>
        <v>61.058834508014783</v>
      </c>
      <c r="N372" s="2">
        <v>15</v>
      </c>
      <c r="O372" s="2">
        <v>24</v>
      </c>
      <c r="P372" s="2">
        <v>24</v>
      </c>
      <c r="S372" s="22">
        <f t="shared" si="60"/>
        <v>21</v>
      </c>
      <c r="T372" s="25">
        <f t="shared" si="61"/>
        <v>5.196152422706632</v>
      </c>
    </row>
    <row r="373" spans="1:20" x14ac:dyDescent="0.2">
      <c r="A373" s="7" t="s">
        <v>20</v>
      </c>
      <c r="B373" s="1">
        <v>7.5</v>
      </c>
      <c r="C373" s="1">
        <v>12.5</v>
      </c>
      <c r="D373" s="1">
        <v>10</v>
      </c>
      <c r="E373" s="7">
        <v>16.8</v>
      </c>
      <c r="F373" s="1">
        <v>4.5</v>
      </c>
      <c r="G373" s="1">
        <v>1</v>
      </c>
      <c r="H373" s="7">
        <v>8</v>
      </c>
      <c r="I373" s="5">
        <f t="shared" si="58"/>
        <v>376.23713619391361</v>
      </c>
      <c r="J373" s="5">
        <f t="shared" si="59"/>
        <v>343.45594410758315</v>
      </c>
      <c r="K373" s="5">
        <f t="shared" si="49"/>
        <v>83.608252487536362</v>
      </c>
      <c r="L373" s="30">
        <f t="shared" si="50"/>
        <v>0.24867959858108646</v>
      </c>
      <c r="M373" s="8">
        <f t="shared" si="51"/>
        <v>48.847067606411827</v>
      </c>
      <c r="N373" s="2">
        <v>50</v>
      </c>
      <c r="O373" s="2">
        <v>54</v>
      </c>
      <c r="S373" s="22">
        <f t="shared" si="60"/>
        <v>52</v>
      </c>
      <c r="T373" s="25">
        <f t="shared" si="61"/>
        <v>2.8284271247461903</v>
      </c>
    </row>
    <row r="374" spans="1:20" x14ac:dyDescent="0.2">
      <c r="A374" s="7" t="s">
        <v>20</v>
      </c>
      <c r="B374" s="1">
        <v>7.5</v>
      </c>
      <c r="C374" s="1">
        <v>12.5</v>
      </c>
      <c r="D374" s="1">
        <v>10</v>
      </c>
      <c r="E374" s="7">
        <v>16.8</v>
      </c>
      <c r="F374" s="1">
        <v>4.5</v>
      </c>
      <c r="G374" s="1">
        <v>2</v>
      </c>
      <c r="H374" s="7">
        <v>8</v>
      </c>
      <c r="I374" s="5">
        <f t="shared" si="58"/>
        <v>752.47427238782723</v>
      </c>
      <c r="J374" s="5">
        <f t="shared" si="59"/>
        <v>686.9118882151663</v>
      </c>
      <c r="K374" s="5">
        <f t="shared" si="49"/>
        <v>167.21650497507272</v>
      </c>
      <c r="L374" s="30">
        <f t="shared" si="50"/>
        <v>0.24867959858108646</v>
      </c>
      <c r="M374" s="8">
        <f t="shared" si="51"/>
        <v>97.694135212823653</v>
      </c>
      <c r="N374" s="2">
        <v>26</v>
      </c>
      <c r="O374" s="2">
        <v>25</v>
      </c>
      <c r="S374" s="22">
        <f t="shared" si="60"/>
        <v>25.5</v>
      </c>
      <c r="T374" s="25">
        <f t="shared" si="61"/>
        <v>0.70710678118654757</v>
      </c>
    </row>
    <row r="375" spans="1:20" x14ac:dyDescent="0.2">
      <c r="A375" s="7" t="s">
        <v>20</v>
      </c>
      <c r="B375" s="1">
        <v>7.5</v>
      </c>
      <c r="C375" s="1">
        <v>12.5</v>
      </c>
      <c r="D375" s="1">
        <v>10</v>
      </c>
      <c r="E375" s="7">
        <v>16.8</v>
      </c>
      <c r="F375" s="1">
        <v>4.5</v>
      </c>
      <c r="G375" s="1">
        <v>3</v>
      </c>
      <c r="H375" s="7">
        <v>8</v>
      </c>
      <c r="I375" s="5">
        <f t="shared" si="58"/>
        <v>1128.7114085817407</v>
      </c>
      <c r="J375" s="5">
        <f t="shared" si="59"/>
        <v>1030.3678323227491</v>
      </c>
      <c r="K375" s="5">
        <f t="shared" si="49"/>
        <v>250.82475746260903</v>
      </c>
      <c r="L375" s="30">
        <f t="shared" si="50"/>
        <v>0.24867959858108646</v>
      </c>
      <c r="M375" s="8">
        <f t="shared" si="51"/>
        <v>146.54120281923542</v>
      </c>
      <c r="N375" s="2">
        <v>11</v>
      </c>
      <c r="O375" s="2">
        <v>11</v>
      </c>
      <c r="S375" s="22">
        <f t="shared" si="60"/>
        <v>11</v>
      </c>
      <c r="T375" s="25">
        <f t="shared" si="61"/>
        <v>0</v>
      </c>
    </row>
    <row r="376" spans="1:20" x14ac:dyDescent="0.2">
      <c r="A376" s="7" t="s">
        <v>20</v>
      </c>
      <c r="B376" s="1">
        <v>7.5</v>
      </c>
      <c r="C376" s="1">
        <v>12.5</v>
      </c>
      <c r="D376" s="1">
        <v>10</v>
      </c>
      <c r="E376" s="7">
        <v>16.8</v>
      </c>
      <c r="F376" s="1">
        <v>4.5</v>
      </c>
      <c r="G376" s="1">
        <v>4</v>
      </c>
      <c r="H376" s="7">
        <v>8</v>
      </c>
      <c r="I376" s="5">
        <f t="shared" si="58"/>
        <v>1504.9485447756545</v>
      </c>
      <c r="J376" s="5">
        <f t="shared" si="59"/>
        <v>1373.8237764303326</v>
      </c>
      <c r="K376" s="5">
        <f t="shared" si="49"/>
        <v>334.43300995014545</v>
      </c>
      <c r="L376" s="30">
        <f t="shared" si="50"/>
        <v>0.24867959858108646</v>
      </c>
      <c r="M376" s="8">
        <f t="shared" si="51"/>
        <v>195.38827042564731</v>
      </c>
      <c r="N376" s="2">
        <v>8</v>
      </c>
      <c r="O376" s="2">
        <v>11</v>
      </c>
      <c r="S376" s="22">
        <f t="shared" si="60"/>
        <v>9.5</v>
      </c>
      <c r="T376" s="25">
        <f t="shared" si="61"/>
        <v>2.1213203435596424</v>
      </c>
    </row>
    <row r="377" spans="1:20" x14ac:dyDescent="0.2">
      <c r="A377" s="7" t="s">
        <v>20</v>
      </c>
      <c r="B377" s="1">
        <v>7.5</v>
      </c>
      <c r="C377" s="1">
        <v>12.5</v>
      </c>
      <c r="D377" s="1">
        <v>10</v>
      </c>
      <c r="E377" s="7">
        <v>16.8</v>
      </c>
      <c r="F377" s="1">
        <v>22.25</v>
      </c>
      <c r="G377" s="1">
        <v>0</v>
      </c>
      <c r="H377" s="7">
        <v>0</v>
      </c>
      <c r="I377" s="5">
        <f t="shared" ref="I377:I403" si="62">(2*PI()*G377*(H377/1000)*998*(B377/1000))/0.001</f>
        <v>0</v>
      </c>
      <c r="J377" s="5">
        <f t="shared" ref="J377:J403" si="63">I377*SQRT(C377/(2*B377))</f>
        <v>0</v>
      </c>
      <c r="K377" s="5">
        <f t="shared" si="49"/>
        <v>0</v>
      </c>
      <c r="L377" s="30" t="e">
        <f t="shared" si="50"/>
        <v>#DIV/0!</v>
      </c>
      <c r="M377" s="8">
        <f t="shared" si="51"/>
        <v>0</v>
      </c>
      <c r="N377" s="2">
        <v>16</v>
      </c>
      <c r="O377" s="2">
        <v>16</v>
      </c>
      <c r="P377" s="2">
        <v>16</v>
      </c>
      <c r="S377" s="22">
        <f t="shared" si="60"/>
        <v>16</v>
      </c>
      <c r="T377" s="25">
        <f t="shared" si="61"/>
        <v>0</v>
      </c>
    </row>
    <row r="378" spans="1:20" x14ac:dyDescent="0.2">
      <c r="A378" s="7" t="s">
        <v>20</v>
      </c>
      <c r="B378" s="1">
        <v>7.5</v>
      </c>
      <c r="C378" s="1">
        <v>12.5</v>
      </c>
      <c r="D378" s="1">
        <v>10</v>
      </c>
      <c r="E378" s="7">
        <v>16.8</v>
      </c>
      <c r="F378" s="1">
        <v>22.25</v>
      </c>
      <c r="G378" s="1">
        <v>1</v>
      </c>
      <c r="H378" s="7">
        <v>1</v>
      </c>
      <c r="I378" s="5">
        <f t="shared" si="62"/>
        <v>47.029642024239202</v>
      </c>
      <c r="J378" s="5">
        <f t="shared" si="63"/>
        <v>42.931993013447894</v>
      </c>
      <c r="K378" s="5">
        <f t="shared" si="49"/>
        <v>2.1136917763703011</v>
      </c>
      <c r="L378" s="30">
        <f t="shared" si="50"/>
        <v>1.9894367886486917</v>
      </c>
      <c r="M378" s="8">
        <f t="shared" si="51"/>
        <v>0.1543622220708239</v>
      </c>
      <c r="N378" s="2">
        <v>18</v>
      </c>
      <c r="O378" s="2">
        <v>18</v>
      </c>
      <c r="S378" s="22">
        <f t="shared" si="60"/>
        <v>18</v>
      </c>
      <c r="T378" s="25">
        <f t="shared" si="61"/>
        <v>0</v>
      </c>
    </row>
    <row r="379" spans="1:20" x14ac:dyDescent="0.2">
      <c r="A379" s="7" t="s">
        <v>20</v>
      </c>
      <c r="B379" s="1">
        <v>7.5</v>
      </c>
      <c r="C379" s="1">
        <v>12.5</v>
      </c>
      <c r="D379" s="1">
        <v>10</v>
      </c>
      <c r="E379" s="7">
        <v>16.8</v>
      </c>
      <c r="F379" s="1">
        <v>22.25</v>
      </c>
      <c r="G379" s="1">
        <v>2</v>
      </c>
      <c r="H379" s="7">
        <v>1</v>
      </c>
      <c r="I379" s="5">
        <f t="shared" si="62"/>
        <v>94.059284048478403</v>
      </c>
      <c r="J379" s="5">
        <f t="shared" si="63"/>
        <v>85.863986026895788</v>
      </c>
      <c r="K379" s="5">
        <f t="shared" si="49"/>
        <v>4.2273835527406023</v>
      </c>
      <c r="L379" s="30">
        <f t="shared" si="50"/>
        <v>1.9894367886486917</v>
      </c>
      <c r="M379" s="8">
        <f t="shared" si="51"/>
        <v>0.30872444414164779</v>
      </c>
      <c r="N379" s="2">
        <v>21</v>
      </c>
      <c r="O379" s="2">
        <v>23</v>
      </c>
      <c r="S379" s="22">
        <f t="shared" si="60"/>
        <v>22</v>
      </c>
      <c r="T379" s="25">
        <f t="shared" si="61"/>
        <v>1.4142135623730951</v>
      </c>
    </row>
    <row r="380" spans="1:20" x14ac:dyDescent="0.2">
      <c r="A380" s="7" t="s">
        <v>20</v>
      </c>
      <c r="B380" s="1">
        <v>7.5</v>
      </c>
      <c r="C380" s="1">
        <v>12.5</v>
      </c>
      <c r="D380" s="1">
        <v>10</v>
      </c>
      <c r="E380" s="7">
        <v>16.8</v>
      </c>
      <c r="F380" s="1">
        <v>22.25</v>
      </c>
      <c r="G380" s="1">
        <v>3</v>
      </c>
      <c r="H380" s="7">
        <v>1</v>
      </c>
      <c r="I380" s="5">
        <f t="shared" si="62"/>
        <v>141.08892607271758</v>
      </c>
      <c r="J380" s="5">
        <f t="shared" si="63"/>
        <v>128.79597904034364</v>
      </c>
      <c r="K380" s="5">
        <f t="shared" si="49"/>
        <v>6.341075329110903</v>
      </c>
      <c r="L380" s="30">
        <f t="shared" si="50"/>
        <v>1.9894367886486917</v>
      </c>
      <c r="M380" s="8">
        <f t="shared" si="51"/>
        <v>0.46308666621247146</v>
      </c>
      <c r="N380" s="2">
        <v>25</v>
      </c>
      <c r="O380" s="2">
        <v>27</v>
      </c>
      <c r="S380" s="22">
        <f t="shared" si="60"/>
        <v>26</v>
      </c>
      <c r="T380" s="25">
        <f t="shared" si="61"/>
        <v>1.4142135623730951</v>
      </c>
    </row>
    <row r="381" spans="1:20" x14ac:dyDescent="0.2">
      <c r="A381" s="7" t="s">
        <v>20</v>
      </c>
      <c r="B381" s="1">
        <v>7.5</v>
      </c>
      <c r="C381" s="1">
        <v>12.5</v>
      </c>
      <c r="D381" s="1">
        <v>10</v>
      </c>
      <c r="E381" s="7">
        <v>16.8</v>
      </c>
      <c r="F381" s="1">
        <v>22.25</v>
      </c>
      <c r="G381" s="1">
        <v>4</v>
      </c>
      <c r="H381" s="7">
        <v>1</v>
      </c>
      <c r="I381" s="5">
        <f t="shared" si="62"/>
        <v>188.11856809695681</v>
      </c>
      <c r="J381" s="5">
        <f t="shared" si="63"/>
        <v>171.72797205379158</v>
      </c>
      <c r="K381" s="5">
        <f t="shared" si="49"/>
        <v>8.4547671054812046</v>
      </c>
      <c r="L381" s="30">
        <f t="shared" si="50"/>
        <v>1.9894367886486917</v>
      </c>
      <c r="M381" s="8">
        <f t="shared" si="51"/>
        <v>0.61744888828329558</v>
      </c>
      <c r="N381" s="2">
        <v>23</v>
      </c>
      <c r="O381" s="2">
        <v>24</v>
      </c>
      <c r="S381" s="22">
        <f t="shared" si="60"/>
        <v>23.5</v>
      </c>
      <c r="T381" s="25">
        <f t="shared" si="61"/>
        <v>0.70710678118654757</v>
      </c>
    </row>
    <row r="382" spans="1:20" x14ac:dyDescent="0.2">
      <c r="A382" s="7" t="s">
        <v>20</v>
      </c>
      <c r="B382" s="1">
        <v>7.5</v>
      </c>
      <c r="C382" s="1">
        <v>12.5</v>
      </c>
      <c r="D382" s="1">
        <v>10</v>
      </c>
      <c r="E382" s="7">
        <v>16.8</v>
      </c>
      <c r="F382" s="1">
        <v>22.25</v>
      </c>
      <c r="G382" s="1">
        <v>5</v>
      </c>
      <c r="H382" s="7">
        <v>1</v>
      </c>
      <c r="I382" s="5">
        <f t="shared" si="62"/>
        <v>235.14821012119603</v>
      </c>
      <c r="J382" s="5">
        <f t="shared" si="63"/>
        <v>214.65996506723948</v>
      </c>
      <c r="K382" s="5">
        <f t="shared" si="49"/>
        <v>10.568458881851507</v>
      </c>
      <c r="L382" s="30">
        <f t="shared" si="50"/>
        <v>1.9894367886486917</v>
      </c>
      <c r="M382" s="8">
        <f t="shared" si="51"/>
        <v>0.77181111035411942</v>
      </c>
      <c r="N382" s="2">
        <v>12</v>
      </c>
      <c r="O382" s="2">
        <v>14</v>
      </c>
      <c r="S382" s="22">
        <f t="shared" si="60"/>
        <v>13</v>
      </c>
      <c r="T382" s="25">
        <f t="shared" si="61"/>
        <v>1.4142135623730951</v>
      </c>
    </row>
    <row r="383" spans="1:20" x14ac:dyDescent="0.2">
      <c r="A383" s="7" t="s">
        <v>20</v>
      </c>
      <c r="B383" s="1">
        <v>7.5</v>
      </c>
      <c r="C383" s="1">
        <v>12.5</v>
      </c>
      <c r="D383" s="1">
        <v>10</v>
      </c>
      <c r="E383" s="7">
        <v>16.8</v>
      </c>
      <c r="F383" s="1">
        <v>22.25</v>
      </c>
      <c r="G383" s="1">
        <v>1</v>
      </c>
      <c r="H383" s="7">
        <v>2</v>
      </c>
      <c r="I383" s="5">
        <f t="shared" si="62"/>
        <v>94.059284048478403</v>
      </c>
      <c r="J383" s="5">
        <f t="shared" si="63"/>
        <v>85.863986026895788</v>
      </c>
      <c r="K383" s="5">
        <f t="shared" si="49"/>
        <v>4.2273835527406023</v>
      </c>
      <c r="L383" s="30">
        <f t="shared" si="50"/>
        <v>0.99471839432434583</v>
      </c>
      <c r="M383" s="8">
        <f t="shared" si="51"/>
        <v>0.61744888828329558</v>
      </c>
      <c r="N383" s="2">
        <v>26</v>
      </c>
      <c r="O383" s="2">
        <v>30</v>
      </c>
      <c r="P383" s="2">
        <v>22</v>
      </c>
      <c r="S383" s="22">
        <f t="shared" si="60"/>
        <v>26</v>
      </c>
      <c r="T383" s="25">
        <f t="shared" si="61"/>
        <v>4</v>
      </c>
    </row>
    <row r="384" spans="1:20" x14ac:dyDescent="0.2">
      <c r="A384" s="7" t="s">
        <v>20</v>
      </c>
      <c r="B384" s="1">
        <v>7.5</v>
      </c>
      <c r="C384" s="1">
        <v>12.5</v>
      </c>
      <c r="D384" s="1">
        <v>10</v>
      </c>
      <c r="E384" s="7">
        <v>16.8</v>
      </c>
      <c r="F384" s="1">
        <v>22.25</v>
      </c>
      <c r="G384" s="1">
        <v>2</v>
      </c>
      <c r="H384" s="7">
        <v>2</v>
      </c>
      <c r="I384" s="5">
        <f t="shared" si="62"/>
        <v>188.11856809695681</v>
      </c>
      <c r="J384" s="5">
        <f t="shared" si="63"/>
        <v>171.72797205379158</v>
      </c>
      <c r="K384" s="5">
        <f t="shared" si="49"/>
        <v>8.4547671054812046</v>
      </c>
      <c r="L384" s="30">
        <f t="shared" si="50"/>
        <v>0.99471839432434583</v>
      </c>
      <c r="M384" s="8">
        <f t="shared" si="51"/>
        <v>1.2348977765665912</v>
      </c>
      <c r="N384" s="2">
        <v>40</v>
      </c>
      <c r="O384" s="2">
        <v>40</v>
      </c>
      <c r="P384" s="2">
        <v>27</v>
      </c>
      <c r="S384" s="22">
        <f t="shared" si="60"/>
        <v>35.666666666666664</v>
      </c>
      <c r="T384" s="25">
        <f t="shared" si="61"/>
        <v>7.5055534994651296</v>
      </c>
    </row>
    <row r="385" spans="1:20" x14ac:dyDescent="0.2">
      <c r="A385" s="7" t="s">
        <v>20</v>
      </c>
      <c r="B385" s="1">
        <v>7.5</v>
      </c>
      <c r="C385" s="1">
        <v>12.5</v>
      </c>
      <c r="D385" s="1">
        <v>10</v>
      </c>
      <c r="E385" s="7">
        <v>16.8</v>
      </c>
      <c r="F385" s="1">
        <v>22.25</v>
      </c>
      <c r="G385" s="1">
        <v>3</v>
      </c>
      <c r="H385" s="7">
        <v>2</v>
      </c>
      <c r="I385" s="5">
        <f t="shared" si="62"/>
        <v>282.17785214543517</v>
      </c>
      <c r="J385" s="5">
        <f t="shared" si="63"/>
        <v>257.59195808068728</v>
      </c>
      <c r="K385" s="5">
        <f t="shared" si="49"/>
        <v>12.682150658221806</v>
      </c>
      <c r="L385" s="30">
        <f t="shared" si="50"/>
        <v>0.99471839432434583</v>
      </c>
      <c r="M385" s="8">
        <f t="shared" si="51"/>
        <v>1.8523466648498859</v>
      </c>
      <c r="N385" s="2">
        <v>40</v>
      </c>
      <c r="O385" s="2">
        <v>40</v>
      </c>
      <c r="P385" s="2">
        <v>40</v>
      </c>
      <c r="S385" s="22">
        <f t="shared" si="60"/>
        <v>40</v>
      </c>
      <c r="T385" s="25">
        <f t="shared" si="61"/>
        <v>0</v>
      </c>
    </row>
    <row r="386" spans="1:20" x14ac:dyDescent="0.2">
      <c r="A386" s="7" t="s">
        <v>20</v>
      </c>
      <c r="B386" s="1">
        <v>7.5</v>
      </c>
      <c r="C386" s="1">
        <v>12.5</v>
      </c>
      <c r="D386" s="1">
        <v>10</v>
      </c>
      <c r="E386" s="7">
        <v>16.8</v>
      </c>
      <c r="F386" s="1">
        <v>22.25</v>
      </c>
      <c r="G386" s="1">
        <v>4</v>
      </c>
      <c r="H386" s="7">
        <v>2</v>
      </c>
      <c r="I386" s="5">
        <f t="shared" si="62"/>
        <v>376.23713619391361</v>
      </c>
      <c r="J386" s="5">
        <f t="shared" si="63"/>
        <v>343.45594410758315</v>
      </c>
      <c r="K386" s="5">
        <f t="shared" si="49"/>
        <v>16.909534210962409</v>
      </c>
      <c r="L386" s="30">
        <f t="shared" si="50"/>
        <v>0.99471839432434583</v>
      </c>
      <c r="M386" s="8">
        <f t="shared" si="51"/>
        <v>2.4697955531331823</v>
      </c>
      <c r="N386" s="2">
        <v>30</v>
      </c>
      <c r="O386" s="2">
        <v>80</v>
      </c>
      <c r="P386" s="2">
        <v>27</v>
      </c>
      <c r="S386" s="22">
        <f t="shared" si="60"/>
        <v>45.666666666666664</v>
      </c>
      <c r="T386" s="25">
        <f t="shared" si="61"/>
        <v>29.771350881902109</v>
      </c>
    </row>
    <row r="387" spans="1:20" x14ac:dyDescent="0.2">
      <c r="A387" s="7" t="s">
        <v>20</v>
      </c>
      <c r="B387" s="1">
        <v>7.5</v>
      </c>
      <c r="C387" s="1">
        <v>12.5</v>
      </c>
      <c r="D387" s="1">
        <v>10</v>
      </c>
      <c r="E387" s="7">
        <v>16.8</v>
      </c>
      <c r="F387" s="1">
        <v>22.25</v>
      </c>
      <c r="G387" s="1">
        <v>5</v>
      </c>
      <c r="H387" s="7">
        <v>2</v>
      </c>
      <c r="I387" s="5">
        <f t="shared" si="62"/>
        <v>470.29642024239206</v>
      </c>
      <c r="J387" s="5">
        <f t="shared" si="63"/>
        <v>429.31993013447897</v>
      </c>
      <c r="K387" s="5">
        <f t="shared" si="49"/>
        <v>21.136917763703014</v>
      </c>
      <c r="L387" s="30">
        <f t="shared" si="50"/>
        <v>0.99471839432434583</v>
      </c>
      <c r="M387" s="8">
        <f t="shared" si="51"/>
        <v>3.0872444414164777</v>
      </c>
      <c r="N387" s="2">
        <v>20</v>
      </c>
      <c r="O387" s="2">
        <v>58</v>
      </c>
      <c r="P387" s="2">
        <v>22</v>
      </c>
      <c r="S387" s="22">
        <f t="shared" si="60"/>
        <v>33.333333333333336</v>
      </c>
      <c r="T387" s="25">
        <f t="shared" si="61"/>
        <v>21.385353243127252</v>
      </c>
    </row>
    <row r="388" spans="1:20" x14ac:dyDescent="0.2">
      <c r="A388" s="7" t="s">
        <v>20</v>
      </c>
      <c r="B388" s="1">
        <v>7.5</v>
      </c>
      <c r="C388" s="1">
        <v>12.5</v>
      </c>
      <c r="D388" s="1">
        <v>10</v>
      </c>
      <c r="E388" s="7">
        <v>16.8</v>
      </c>
      <c r="F388" s="1">
        <v>22.25</v>
      </c>
      <c r="G388" s="1">
        <v>6</v>
      </c>
      <c r="H388" s="7">
        <v>2</v>
      </c>
      <c r="I388" s="5">
        <f t="shared" si="62"/>
        <v>564.35570429087034</v>
      </c>
      <c r="J388" s="5">
        <f t="shared" si="63"/>
        <v>515.18391616137455</v>
      </c>
      <c r="K388" s="5">
        <f t="shared" ref="K388:K403" si="64">I388/F388</f>
        <v>25.364301316443612</v>
      </c>
      <c r="L388" s="30">
        <f t="shared" ref="L388:L403" si="65">(C388/(2*PI()*H388))</f>
        <v>0.99471839432434583</v>
      </c>
      <c r="M388" s="8">
        <f t="shared" ref="M388:M403" si="66">((J388*(H388/C388))/F388)</f>
        <v>3.7046933296997717</v>
      </c>
      <c r="N388" s="2">
        <v>18</v>
      </c>
      <c r="O388" s="2">
        <v>30</v>
      </c>
      <c r="P388" s="2">
        <v>19</v>
      </c>
      <c r="S388" s="22">
        <f t="shared" si="60"/>
        <v>22.333333333333332</v>
      </c>
      <c r="T388" s="25">
        <f t="shared" si="61"/>
        <v>6.6583281184793961</v>
      </c>
    </row>
    <row r="389" spans="1:20" x14ac:dyDescent="0.2">
      <c r="A389" s="7" t="s">
        <v>20</v>
      </c>
      <c r="B389" s="1">
        <v>7.5</v>
      </c>
      <c r="C389" s="1">
        <v>12.5</v>
      </c>
      <c r="D389" s="1">
        <v>10</v>
      </c>
      <c r="E389" s="7">
        <v>16.8</v>
      </c>
      <c r="F389" s="1">
        <v>22.25</v>
      </c>
      <c r="G389" s="1">
        <v>1</v>
      </c>
      <c r="H389" s="7">
        <v>3</v>
      </c>
      <c r="I389" s="5">
        <f t="shared" si="62"/>
        <v>141.08892607271758</v>
      </c>
      <c r="J389" s="5">
        <f t="shared" si="63"/>
        <v>128.79597904034364</v>
      </c>
      <c r="K389" s="5">
        <f t="shared" si="64"/>
        <v>6.341075329110903</v>
      </c>
      <c r="L389" s="30">
        <f t="shared" si="65"/>
        <v>0.66314559621623059</v>
      </c>
      <c r="M389" s="8">
        <f t="shared" si="66"/>
        <v>1.3892599986374146</v>
      </c>
      <c r="N389" s="2">
        <v>27</v>
      </c>
      <c r="O389" s="2">
        <v>32</v>
      </c>
      <c r="P389" s="2">
        <v>22</v>
      </c>
      <c r="S389" s="22">
        <f t="shared" si="60"/>
        <v>27</v>
      </c>
      <c r="T389" s="25">
        <f t="shared" si="61"/>
        <v>5</v>
      </c>
    </row>
    <row r="390" spans="1:20" x14ac:dyDescent="0.2">
      <c r="A390" s="7" t="s">
        <v>20</v>
      </c>
      <c r="B390" s="1">
        <v>7.5</v>
      </c>
      <c r="C390" s="1">
        <v>12.5</v>
      </c>
      <c r="D390" s="1">
        <v>10</v>
      </c>
      <c r="E390" s="7">
        <v>16.8</v>
      </c>
      <c r="F390" s="1">
        <v>22.25</v>
      </c>
      <c r="G390" s="1">
        <v>2</v>
      </c>
      <c r="H390" s="7">
        <v>3</v>
      </c>
      <c r="I390" s="5">
        <f t="shared" si="62"/>
        <v>282.17785214543517</v>
      </c>
      <c r="J390" s="5">
        <f t="shared" si="63"/>
        <v>257.59195808068728</v>
      </c>
      <c r="K390" s="5">
        <f t="shared" si="64"/>
        <v>12.682150658221806</v>
      </c>
      <c r="L390" s="30">
        <f t="shared" si="65"/>
        <v>0.66314559621623059</v>
      </c>
      <c r="M390" s="8">
        <f t="shared" si="66"/>
        <v>2.7785199972748291</v>
      </c>
      <c r="N390" s="2">
        <v>35</v>
      </c>
      <c r="O390" s="2">
        <v>59</v>
      </c>
      <c r="P390" s="2">
        <v>40</v>
      </c>
      <c r="S390" s="22">
        <f t="shared" si="60"/>
        <v>44.666666666666664</v>
      </c>
      <c r="T390" s="25">
        <f t="shared" si="61"/>
        <v>12.662279942148391</v>
      </c>
    </row>
    <row r="391" spans="1:20" x14ac:dyDescent="0.2">
      <c r="A391" s="7" t="s">
        <v>20</v>
      </c>
      <c r="B391" s="1">
        <v>7.5</v>
      </c>
      <c r="C391" s="1">
        <v>12.5</v>
      </c>
      <c r="D391" s="1">
        <v>10</v>
      </c>
      <c r="E391" s="7">
        <v>16.8</v>
      </c>
      <c r="F391" s="1">
        <v>22.25</v>
      </c>
      <c r="G391" s="1">
        <v>3</v>
      </c>
      <c r="H391" s="7">
        <v>3</v>
      </c>
      <c r="I391" s="5">
        <f t="shared" si="62"/>
        <v>423.26677821815275</v>
      </c>
      <c r="J391" s="5">
        <f t="shared" si="63"/>
        <v>386.38793712103097</v>
      </c>
      <c r="K391" s="5">
        <f t="shared" si="64"/>
        <v>19.023225987332708</v>
      </c>
      <c r="L391" s="30">
        <f t="shared" si="65"/>
        <v>0.66314559621623059</v>
      </c>
      <c r="M391" s="8">
        <f t="shared" si="66"/>
        <v>4.1677799959122437</v>
      </c>
      <c r="N391" s="2">
        <v>36</v>
      </c>
      <c r="O391" s="2">
        <v>34</v>
      </c>
      <c r="P391" s="2">
        <v>40</v>
      </c>
      <c r="S391" s="22">
        <f t="shared" si="60"/>
        <v>36.666666666666664</v>
      </c>
      <c r="T391" s="25">
        <f t="shared" si="61"/>
        <v>3.0550504633038931</v>
      </c>
    </row>
    <row r="392" spans="1:20" x14ac:dyDescent="0.2">
      <c r="A392" s="7" t="s">
        <v>20</v>
      </c>
      <c r="B392" s="1">
        <v>7.5</v>
      </c>
      <c r="C392" s="1">
        <v>12.5</v>
      </c>
      <c r="D392" s="1">
        <v>10</v>
      </c>
      <c r="E392" s="7">
        <v>16.8</v>
      </c>
      <c r="F392" s="1">
        <v>22.25</v>
      </c>
      <c r="G392" s="1">
        <v>4</v>
      </c>
      <c r="H392" s="7">
        <v>3</v>
      </c>
      <c r="I392" s="5">
        <f t="shared" si="62"/>
        <v>564.35570429087034</v>
      </c>
      <c r="J392" s="5">
        <f t="shared" si="63"/>
        <v>515.18391616137455</v>
      </c>
      <c r="K392" s="5">
        <f t="shared" si="64"/>
        <v>25.364301316443612</v>
      </c>
      <c r="L392" s="30">
        <f t="shared" si="65"/>
        <v>0.66314559621623059</v>
      </c>
      <c r="M392" s="8">
        <f t="shared" si="66"/>
        <v>5.5570399945496582</v>
      </c>
      <c r="N392" s="2">
        <v>37</v>
      </c>
      <c r="O392" s="2">
        <v>30</v>
      </c>
      <c r="P392" s="2">
        <v>30</v>
      </c>
      <c r="S392" s="22">
        <f t="shared" si="60"/>
        <v>32.333333333333336</v>
      </c>
      <c r="T392" s="25">
        <f t="shared" si="61"/>
        <v>4.0414518843273708</v>
      </c>
    </row>
    <row r="393" spans="1:20" x14ac:dyDescent="0.2">
      <c r="A393" s="7" t="s">
        <v>20</v>
      </c>
      <c r="B393" s="1">
        <v>7.5</v>
      </c>
      <c r="C393" s="1">
        <v>12.5</v>
      </c>
      <c r="D393" s="1">
        <v>10</v>
      </c>
      <c r="E393" s="7">
        <v>16.8</v>
      </c>
      <c r="F393" s="1">
        <v>22.25</v>
      </c>
      <c r="G393" s="1">
        <v>5</v>
      </c>
      <c r="H393" s="7">
        <v>3</v>
      </c>
      <c r="I393" s="5">
        <f t="shared" si="62"/>
        <v>705.44463036358809</v>
      </c>
      <c r="J393" s="5">
        <f t="shared" si="63"/>
        <v>643.97989520171836</v>
      </c>
      <c r="K393" s="5">
        <f t="shared" si="64"/>
        <v>31.705376645554519</v>
      </c>
      <c r="L393" s="30">
        <f t="shared" si="65"/>
        <v>0.66314559621623059</v>
      </c>
      <c r="M393" s="8">
        <f t="shared" si="66"/>
        <v>6.9462999931870746</v>
      </c>
      <c r="N393" s="2">
        <v>37</v>
      </c>
      <c r="O393" s="2">
        <v>27</v>
      </c>
      <c r="P393" s="2">
        <v>30</v>
      </c>
      <c r="S393" s="22">
        <f t="shared" si="60"/>
        <v>31.333333333333332</v>
      </c>
      <c r="T393" s="25">
        <f t="shared" si="61"/>
        <v>5.131601439446877</v>
      </c>
    </row>
    <row r="394" spans="1:20" x14ac:dyDescent="0.2">
      <c r="A394" s="7" t="s">
        <v>20</v>
      </c>
      <c r="B394" s="1">
        <v>7.5</v>
      </c>
      <c r="C394" s="1">
        <v>12.5</v>
      </c>
      <c r="D394" s="1">
        <v>10</v>
      </c>
      <c r="E394" s="7">
        <v>16.8</v>
      </c>
      <c r="F394" s="1">
        <v>22.25</v>
      </c>
      <c r="G394" s="1">
        <v>6</v>
      </c>
      <c r="H394" s="7">
        <v>3</v>
      </c>
      <c r="I394" s="5">
        <f t="shared" si="62"/>
        <v>846.5335564363055</v>
      </c>
      <c r="J394" s="5">
        <f t="shared" si="63"/>
        <v>772.77587424206195</v>
      </c>
      <c r="K394" s="5">
        <f t="shared" si="64"/>
        <v>38.046451974665416</v>
      </c>
      <c r="L394" s="30">
        <f t="shared" si="65"/>
        <v>0.66314559621623059</v>
      </c>
      <c r="M394" s="8">
        <f t="shared" si="66"/>
        <v>8.3355599918244874</v>
      </c>
      <c r="N394" s="2">
        <v>24</v>
      </c>
      <c r="O394" s="2">
        <v>30</v>
      </c>
      <c r="P394" s="2">
        <v>23</v>
      </c>
      <c r="S394" s="22">
        <f t="shared" si="60"/>
        <v>25.666666666666668</v>
      </c>
      <c r="T394" s="25">
        <f t="shared" si="61"/>
        <v>3.7859388972001873</v>
      </c>
    </row>
    <row r="395" spans="1:20" x14ac:dyDescent="0.2">
      <c r="A395" s="7" t="s">
        <v>20</v>
      </c>
      <c r="B395" s="1">
        <v>7.5</v>
      </c>
      <c r="C395" s="1">
        <v>12.5</v>
      </c>
      <c r="D395" s="1">
        <v>10</v>
      </c>
      <c r="E395" s="7">
        <v>16.8</v>
      </c>
      <c r="F395" s="1">
        <v>22.25</v>
      </c>
      <c r="G395" s="1">
        <v>1</v>
      </c>
      <c r="H395" s="7">
        <v>4</v>
      </c>
      <c r="I395" s="5">
        <f t="shared" si="62"/>
        <v>188.11856809695681</v>
      </c>
      <c r="J395" s="5">
        <f t="shared" si="63"/>
        <v>171.72797205379158</v>
      </c>
      <c r="K395" s="5">
        <f t="shared" si="64"/>
        <v>8.4547671054812046</v>
      </c>
      <c r="L395" s="30">
        <f t="shared" si="65"/>
        <v>0.49735919716217292</v>
      </c>
      <c r="M395" s="8">
        <f t="shared" si="66"/>
        <v>2.4697955531331823</v>
      </c>
      <c r="N395" s="2">
        <v>40</v>
      </c>
      <c r="O395" s="2">
        <v>37</v>
      </c>
      <c r="P395" s="2">
        <v>28</v>
      </c>
      <c r="S395" s="22">
        <f t="shared" si="60"/>
        <v>35</v>
      </c>
      <c r="T395" s="25">
        <f t="shared" si="61"/>
        <v>6.2449979983983983</v>
      </c>
    </row>
    <row r="396" spans="1:20" x14ac:dyDescent="0.2">
      <c r="A396" s="7" t="s">
        <v>20</v>
      </c>
      <c r="B396" s="1">
        <v>7.5</v>
      </c>
      <c r="C396" s="1">
        <v>12.5</v>
      </c>
      <c r="D396" s="1">
        <v>10</v>
      </c>
      <c r="E396" s="7">
        <v>16.8</v>
      </c>
      <c r="F396" s="1">
        <v>22.25</v>
      </c>
      <c r="G396" s="1">
        <v>2</v>
      </c>
      <c r="H396" s="7">
        <v>4</v>
      </c>
      <c r="I396" s="5">
        <f t="shared" si="62"/>
        <v>376.23713619391361</v>
      </c>
      <c r="J396" s="5">
        <f t="shared" si="63"/>
        <v>343.45594410758315</v>
      </c>
      <c r="K396" s="5">
        <f t="shared" si="64"/>
        <v>16.909534210962409</v>
      </c>
      <c r="L396" s="30">
        <f t="shared" si="65"/>
        <v>0.49735919716217292</v>
      </c>
      <c r="M396" s="8">
        <f t="shared" si="66"/>
        <v>4.9395911062663647</v>
      </c>
      <c r="N396" s="2">
        <v>45</v>
      </c>
      <c r="O396" s="2">
        <v>43</v>
      </c>
      <c r="P396" s="2">
        <v>43</v>
      </c>
      <c r="S396" s="22">
        <f t="shared" si="60"/>
        <v>43.666666666666664</v>
      </c>
      <c r="T396" s="25">
        <f t="shared" si="61"/>
        <v>1.1547005383792517</v>
      </c>
    </row>
    <row r="397" spans="1:20" x14ac:dyDescent="0.2">
      <c r="A397" s="7" t="s">
        <v>20</v>
      </c>
      <c r="B397" s="1">
        <v>7.5</v>
      </c>
      <c r="C397" s="1">
        <v>12.5</v>
      </c>
      <c r="D397" s="1">
        <v>10</v>
      </c>
      <c r="E397" s="7">
        <v>16.8</v>
      </c>
      <c r="F397" s="1">
        <v>22.25</v>
      </c>
      <c r="G397" s="1">
        <v>3</v>
      </c>
      <c r="H397" s="7">
        <v>4</v>
      </c>
      <c r="I397" s="5">
        <f t="shared" si="62"/>
        <v>564.35570429087034</v>
      </c>
      <c r="J397" s="5">
        <f t="shared" si="63"/>
        <v>515.18391616137455</v>
      </c>
      <c r="K397" s="5">
        <f t="shared" si="64"/>
        <v>25.364301316443612</v>
      </c>
      <c r="L397" s="30">
        <f t="shared" si="65"/>
        <v>0.49735919716217292</v>
      </c>
      <c r="M397" s="8">
        <f t="shared" si="66"/>
        <v>7.4093866593995434</v>
      </c>
      <c r="N397" s="2">
        <v>50</v>
      </c>
      <c r="O397" s="2">
        <v>41</v>
      </c>
      <c r="P397" s="2">
        <v>38</v>
      </c>
      <c r="S397" s="22">
        <f t="shared" si="60"/>
        <v>43</v>
      </c>
      <c r="T397" s="25">
        <f t="shared" si="61"/>
        <v>6.2449979983983983</v>
      </c>
    </row>
    <row r="398" spans="1:20" x14ac:dyDescent="0.2">
      <c r="A398" s="7" t="s">
        <v>20</v>
      </c>
      <c r="B398" s="1">
        <v>7.5</v>
      </c>
      <c r="C398" s="1">
        <v>12.5</v>
      </c>
      <c r="D398" s="1">
        <v>10</v>
      </c>
      <c r="E398" s="7">
        <v>16.8</v>
      </c>
      <c r="F398" s="1">
        <v>22.25</v>
      </c>
      <c r="G398" s="1">
        <v>4</v>
      </c>
      <c r="H398" s="7">
        <v>4</v>
      </c>
      <c r="I398" s="5">
        <f t="shared" si="62"/>
        <v>752.47427238782723</v>
      </c>
      <c r="J398" s="5">
        <f t="shared" si="63"/>
        <v>686.9118882151663</v>
      </c>
      <c r="K398" s="5">
        <f t="shared" si="64"/>
        <v>33.819068421924818</v>
      </c>
      <c r="L398" s="30">
        <f t="shared" si="65"/>
        <v>0.49735919716217292</v>
      </c>
      <c r="M398" s="8">
        <f t="shared" si="66"/>
        <v>9.8791822125327293</v>
      </c>
      <c r="N398" s="2">
        <v>38</v>
      </c>
      <c r="O398" s="2">
        <v>45</v>
      </c>
      <c r="P398" s="2">
        <v>38</v>
      </c>
      <c r="S398" s="22">
        <f t="shared" si="60"/>
        <v>40.333333333333336</v>
      </c>
      <c r="T398" s="25">
        <f t="shared" si="61"/>
        <v>4.0414518843273806</v>
      </c>
    </row>
    <row r="399" spans="1:20" x14ac:dyDescent="0.2">
      <c r="A399" s="7" t="s">
        <v>20</v>
      </c>
      <c r="B399" s="1">
        <v>7.5</v>
      </c>
      <c r="C399" s="1">
        <v>12.5</v>
      </c>
      <c r="D399" s="1">
        <v>10</v>
      </c>
      <c r="E399" s="7">
        <v>16.8</v>
      </c>
      <c r="F399" s="1">
        <v>22.25</v>
      </c>
      <c r="G399" s="1">
        <v>5</v>
      </c>
      <c r="H399" s="7">
        <v>4</v>
      </c>
      <c r="I399" s="5">
        <f t="shared" si="62"/>
        <v>940.59284048478412</v>
      </c>
      <c r="J399" s="5">
        <f t="shared" si="63"/>
        <v>858.63986026895793</v>
      </c>
      <c r="K399" s="5">
        <f t="shared" si="64"/>
        <v>42.273835527406028</v>
      </c>
      <c r="L399" s="30">
        <f t="shared" si="65"/>
        <v>0.49735919716217292</v>
      </c>
      <c r="M399" s="8">
        <f t="shared" si="66"/>
        <v>12.348977765665911</v>
      </c>
      <c r="N399" s="2">
        <v>32</v>
      </c>
      <c r="O399" s="2">
        <v>36</v>
      </c>
      <c r="P399" s="2">
        <v>32</v>
      </c>
      <c r="S399" s="22">
        <f t="shared" si="60"/>
        <v>33.333333333333336</v>
      </c>
      <c r="T399" s="25">
        <f t="shared" si="61"/>
        <v>2.3094010767585029</v>
      </c>
    </row>
    <row r="400" spans="1:20" x14ac:dyDescent="0.2">
      <c r="A400" s="7" t="s">
        <v>20</v>
      </c>
      <c r="B400" s="1">
        <v>7.5</v>
      </c>
      <c r="C400" s="1">
        <v>12.5</v>
      </c>
      <c r="D400" s="1">
        <v>10</v>
      </c>
      <c r="E400" s="7">
        <v>16.8</v>
      </c>
      <c r="F400" s="1">
        <v>22.25</v>
      </c>
      <c r="G400" s="1">
        <v>1</v>
      </c>
      <c r="H400" s="7">
        <v>8</v>
      </c>
      <c r="I400" s="5">
        <f t="shared" si="62"/>
        <v>376.23713619391361</v>
      </c>
      <c r="J400" s="5">
        <f t="shared" si="63"/>
        <v>343.45594410758315</v>
      </c>
      <c r="K400" s="5">
        <f t="shared" si="64"/>
        <v>16.909534210962409</v>
      </c>
      <c r="L400" s="30">
        <f t="shared" si="65"/>
        <v>0.24867959858108646</v>
      </c>
      <c r="M400" s="8">
        <f t="shared" si="66"/>
        <v>9.8791822125327293</v>
      </c>
      <c r="N400" s="2">
        <v>27</v>
      </c>
      <c r="O400" s="2">
        <v>27</v>
      </c>
      <c r="S400" s="22">
        <f t="shared" si="60"/>
        <v>27</v>
      </c>
      <c r="T400" s="25">
        <f t="shared" si="61"/>
        <v>0</v>
      </c>
    </row>
    <row r="401" spans="1:20" x14ac:dyDescent="0.2">
      <c r="A401" s="7" t="s">
        <v>20</v>
      </c>
      <c r="B401" s="1">
        <v>7.5</v>
      </c>
      <c r="C401" s="1">
        <v>12.5</v>
      </c>
      <c r="D401" s="1">
        <v>10</v>
      </c>
      <c r="E401" s="7">
        <v>16.8</v>
      </c>
      <c r="F401" s="1">
        <v>22.25</v>
      </c>
      <c r="G401" s="1">
        <v>2</v>
      </c>
      <c r="H401" s="7">
        <v>8</v>
      </c>
      <c r="I401" s="5">
        <f t="shared" si="62"/>
        <v>752.47427238782723</v>
      </c>
      <c r="J401" s="5">
        <f t="shared" si="63"/>
        <v>686.9118882151663</v>
      </c>
      <c r="K401" s="5">
        <f t="shared" si="64"/>
        <v>33.819068421924818</v>
      </c>
      <c r="L401" s="30">
        <f t="shared" si="65"/>
        <v>0.24867959858108646</v>
      </c>
      <c r="M401" s="8">
        <f t="shared" si="66"/>
        <v>19.758364425065459</v>
      </c>
      <c r="N401" s="2">
        <v>40</v>
      </c>
      <c r="O401" s="2">
        <v>42</v>
      </c>
      <c r="S401" s="22">
        <f t="shared" si="60"/>
        <v>41</v>
      </c>
      <c r="T401" s="25">
        <f t="shared" si="61"/>
        <v>1.4142135623730951</v>
      </c>
    </row>
    <row r="402" spans="1:20" x14ac:dyDescent="0.2">
      <c r="A402" s="7" t="s">
        <v>20</v>
      </c>
      <c r="B402" s="1">
        <v>7.5</v>
      </c>
      <c r="C402" s="1">
        <v>12.5</v>
      </c>
      <c r="D402" s="1">
        <v>10</v>
      </c>
      <c r="E402" s="7">
        <v>16.8</v>
      </c>
      <c r="F402" s="1">
        <v>22.25</v>
      </c>
      <c r="G402" s="1">
        <v>3</v>
      </c>
      <c r="H402" s="7">
        <v>8</v>
      </c>
      <c r="I402" s="5">
        <f t="shared" si="62"/>
        <v>1128.7114085817407</v>
      </c>
      <c r="J402" s="5">
        <f t="shared" si="63"/>
        <v>1030.3678323227491</v>
      </c>
      <c r="K402" s="5">
        <f t="shared" si="64"/>
        <v>50.728602632887224</v>
      </c>
      <c r="L402" s="30">
        <f t="shared" si="65"/>
        <v>0.24867959858108646</v>
      </c>
      <c r="M402" s="8">
        <f t="shared" si="66"/>
        <v>29.637546637598174</v>
      </c>
      <c r="N402" s="2">
        <v>38</v>
      </c>
      <c r="O402" s="2">
        <v>35</v>
      </c>
      <c r="S402" s="22">
        <f t="shared" si="60"/>
        <v>36.5</v>
      </c>
      <c r="T402" s="25">
        <f t="shared" si="61"/>
        <v>2.1213203435596424</v>
      </c>
    </row>
    <row r="403" spans="1:20" x14ac:dyDescent="0.2">
      <c r="A403" s="7" t="s">
        <v>20</v>
      </c>
      <c r="B403" s="1">
        <v>7.5</v>
      </c>
      <c r="C403" s="1">
        <v>12.5</v>
      </c>
      <c r="D403" s="1">
        <v>10</v>
      </c>
      <c r="E403" s="7">
        <v>16.8</v>
      </c>
      <c r="F403" s="1">
        <v>22.25</v>
      </c>
      <c r="G403" s="1">
        <v>4</v>
      </c>
      <c r="H403" s="7">
        <v>8</v>
      </c>
      <c r="I403" s="5">
        <f t="shared" si="62"/>
        <v>1504.9485447756545</v>
      </c>
      <c r="J403" s="5">
        <f t="shared" si="63"/>
        <v>1373.8237764303326</v>
      </c>
      <c r="K403" s="5">
        <f t="shared" si="64"/>
        <v>67.638136843849637</v>
      </c>
      <c r="L403" s="30">
        <f t="shared" si="65"/>
        <v>0.24867959858108646</v>
      </c>
      <c r="M403" s="8">
        <f t="shared" si="66"/>
        <v>39.516728850130917</v>
      </c>
      <c r="N403" s="2">
        <v>38</v>
      </c>
      <c r="O403" s="2">
        <v>35</v>
      </c>
      <c r="S403" s="22">
        <f t="shared" si="60"/>
        <v>36.5</v>
      </c>
      <c r="T403" s="25">
        <f t="shared" si="61"/>
        <v>2.1213203435596424</v>
      </c>
    </row>
  </sheetData>
  <autoFilter ref="A2:T403" xr:uid="{00000000-0001-0000-0000-000000000000}"/>
  <mergeCells count="5">
    <mergeCell ref="A1:A2"/>
    <mergeCell ref="B1:E1"/>
    <mergeCell ref="F1:H1"/>
    <mergeCell ref="I1:M1"/>
    <mergeCell ref="N1:T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Newcastle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McDonogh</dc:creator>
  <cp:lastModifiedBy>Microsoft Office User</cp:lastModifiedBy>
  <dcterms:created xsi:type="dcterms:W3CDTF">2018-05-18T08:27:47Z</dcterms:created>
  <dcterms:modified xsi:type="dcterms:W3CDTF">2021-09-04T12:43:17Z</dcterms:modified>
</cp:coreProperties>
</file>